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6129d808c8960a80/Documents/DA Project/Excel Project/"/>
    </mc:Choice>
  </mc:AlternateContent>
  <xr:revisionPtr revIDLastSave="247" documentId="13_ncr:1_{9867A814-C540-4014-8DC5-4208C6DF2043}" xr6:coauthVersionLast="47" xr6:coauthVersionMax="47" xr10:uidLastSave="{6B46241E-5D06-4004-8A59-18993B5836F1}"/>
  <bookViews>
    <workbookView xWindow="-108" yWindow="-108" windowWidth="23256" windowHeight="12456" activeTab="2" xr2:uid="{00000000-000D-0000-FFFF-FFFF00000000}"/>
  </bookViews>
  <sheets>
    <sheet name="Retail Sales Data" sheetId="1" r:id="rId1"/>
    <sheet name="pivote table" sheetId="3" r:id="rId2"/>
    <sheet name="Dashboard" sheetId="4" r:id="rId3"/>
  </sheets>
  <definedNames>
    <definedName name="_xlnm._FilterDatabase" localSheetId="0" hidden="1">'Retail Sales Data'!$A$1:$P$1001</definedName>
    <definedName name="Slicer_Months__Order_Date">#N/A</definedName>
    <definedName name="Slicer_Sales">#N/A</definedName>
    <definedName name="Slicer_St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7" i="4" l="1"/>
  <c r="Q7" i="4"/>
  <c r="O7" i="4"/>
  <c r="M7" i="4"/>
  <c r="R10" i="1"/>
</calcChain>
</file>

<file path=xl/sharedStrings.xml><?xml version="1.0" encoding="utf-8"?>
<sst xmlns="http://schemas.openxmlformats.org/spreadsheetml/2006/main" count="11091" uniqueCount="1421">
  <si>
    <t>Order ID</t>
  </si>
  <si>
    <t>Order Date</t>
  </si>
  <si>
    <t>Customer Name</t>
  </si>
  <si>
    <t>City</t>
  </si>
  <si>
    <t>State</t>
  </si>
  <si>
    <t>Region</t>
  </si>
  <si>
    <t>Category</t>
  </si>
  <si>
    <t>Sub-Category</t>
  </si>
  <si>
    <t>Product Name</t>
  </si>
  <si>
    <t>Sales</t>
  </si>
  <si>
    <t>Quantity</t>
  </si>
  <si>
    <t>Discount</t>
  </si>
  <si>
    <t>Profit</t>
  </si>
  <si>
    <t>Payment Mode</t>
  </si>
  <si>
    <t>Salesperson</t>
  </si>
  <si>
    <t>Customer Segment</t>
  </si>
  <si>
    <t>ORD10989</t>
  </si>
  <si>
    <t>Neha Rao</t>
  </si>
  <si>
    <t>Chennai</t>
  </si>
  <si>
    <t>Tamil Nadu</t>
  </si>
  <si>
    <t>South</t>
  </si>
  <si>
    <t>Office Supplies</t>
  </si>
  <si>
    <t>Stationery</t>
  </si>
  <si>
    <t>Notebook Pack</t>
  </si>
  <si>
    <t>Cash</t>
  </si>
  <si>
    <t>Amit</t>
  </si>
  <si>
    <t>Consumer</t>
  </si>
  <si>
    <t>ORD10315</t>
  </si>
  <si>
    <t>Sneha Shetty</t>
  </si>
  <si>
    <t>Indore</t>
  </si>
  <si>
    <t>Madhya Pradesh</t>
  </si>
  <si>
    <t>Central</t>
  </si>
  <si>
    <t>Furniture</t>
  </si>
  <si>
    <t>Storage</t>
  </si>
  <si>
    <t>Filing Cabinet</t>
  </si>
  <si>
    <t>Credit Card</t>
  </si>
  <si>
    <t>Arjun</t>
  </si>
  <si>
    <t>ORD10329</t>
  </si>
  <si>
    <t>Sneha Gowda</t>
  </si>
  <si>
    <t>Bhubaneswar</t>
  </si>
  <si>
    <t>Odisha</t>
  </si>
  <si>
    <t>East</t>
  </si>
  <si>
    <t>Home Appliances</t>
  </si>
  <si>
    <t>Cleaning</t>
  </si>
  <si>
    <t>Vacuum Cleaner</t>
  </si>
  <si>
    <t>Debit Card</t>
  </si>
  <si>
    <t>Kiran</t>
  </si>
  <si>
    <t>Corporate</t>
  </si>
  <si>
    <t>ORD10517</t>
  </si>
  <si>
    <t>Nikhil Gowda</t>
  </si>
  <si>
    <t>Ahmedabad</t>
  </si>
  <si>
    <t>Gujarat</t>
  </si>
  <si>
    <t>West</t>
  </si>
  <si>
    <t>Kitchen</t>
  </si>
  <si>
    <t>Electric Kettle</t>
  </si>
  <si>
    <t>Small Business</t>
  </si>
  <si>
    <t>ORD10542</t>
  </si>
  <si>
    <t>Rahul Reddy</t>
  </si>
  <si>
    <t>Jaipur</t>
  </si>
  <si>
    <t>Rajasthan</t>
  </si>
  <si>
    <t>North</t>
  </si>
  <si>
    <t>Electronics</t>
  </si>
  <si>
    <t>Accessories</t>
  </si>
  <si>
    <t>Wireless Mouse</t>
  </si>
  <si>
    <t>UPI</t>
  </si>
  <si>
    <t>Sneha</t>
  </si>
  <si>
    <t>ORD10382</t>
  </si>
  <si>
    <t>Kiran Shetty</t>
  </si>
  <si>
    <t>Kolkata</t>
  </si>
  <si>
    <t>West Bengal</t>
  </si>
  <si>
    <t>Bluetooth Keyboard</t>
  </si>
  <si>
    <t>Priya</t>
  </si>
  <si>
    <t>ORD10059</t>
  </si>
  <si>
    <t>Nikhil Kumar</t>
  </si>
  <si>
    <t>Hubballi</t>
  </si>
  <si>
    <t>Karnataka</t>
  </si>
  <si>
    <t>Clothing</t>
  </si>
  <si>
    <t>Men</t>
  </si>
  <si>
    <t>Jeans</t>
  </si>
  <si>
    <t>Neha</t>
  </si>
  <si>
    <t>ORD10634</t>
  </si>
  <si>
    <t>Kavya Mehta</t>
  </si>
  <si>
    <t>Mumbai</t>
  </si>
  <si>
    <t>Maharashtra</t>
  </si>
  <si>
    <t>Chairs</t>
  </si>
  <si>
    <t>Executive Chair</t>
  </si>
  <si>
    <t>Pooja</t>
  </si>
  <si>
    <t>ORD10524</t>
  </si>
  <si>
    <t>Rohan Desai</t>
  </si>
  <si>
    <t>ORD10629</t>
  </si>
  <si>
    <t>Kavya Singh</t>
  </si>
  <si>
    <t>Delhi</t>
  </si>
  <si>
    <t>Tables</t>
  </si>
  <si>
    <t>Office Work Desk</t>
  </si>
  <si>
    <t>ORD10129</t>
  </si>
  <si>
    <t>Ishaan Nair</t>
  </si>
  <si>
    <t>Kochi</t>
  </si>
  <si>
    <t>Kerala</t>
  </si>
  <si>
    <t>Mobiles</t>
  </si>
  <si>
    <t>OnePlus Nord</t>
  </si>
  <si>
    <t>ORD10292</t>
  </si>
  <si>
    <t>Pooja Joshi</t>
  </si>
  <si>
    <t>ORD10817</t>
  </si>
  <si>
    <t>Ishaan Sharma</t>
  </si>
  <si>
    <t>Pune</t>
  </si>
  <si>
    <t>Vikram</t>
  </si>
  <si>
    <t>ORD10154</t>
  </si>
  <si>
    <t>Rahul Gowda</t>
  </si>
  <si>
    <t>Meera</t>
  </si>
  <si>
    <t>ORD10168</t>
  </si>
  <si>
    <t>Sanjay Rao</t>
  </si>
  <si>
    <t>Premium Pens</t>
  </si>
  <si>
    <t>ORD10149</t>
  </si>
  <si>
    <t>Diya Patil</t>
  </si>
  <si>
    <t>Net Banking</t>
  </si>
  <si>
    <t>ORD10942</t>
  </si>
  <si>
    <t>Varun Kumar</t>
  </si>
  <si>
    <t>ORD10363</t>
  </si>
  <si>
    <t>Nikhil Verma</t>
  </si>
  <si>
    <t>Bengaluru</t>
  </si>
  <si>
    <t>Mixer Grinder</t>
  </si>
  <si>
    <t>ORD10533</t>
  </si>
  <si>
    <t>Women</t>
  </si>
  <si>
    <t>Handbag</t>
  </si>
  <si>
    <t>ORD10099</t>
  </si>
  <si>
    <t>Rahul Nair</t>
  </si>
  <si>
    <t>ORD10178</t>
  </si>
  <si>
    <t>Diya Joshi</t>
  </si>
  <si>
    <t>Laptops</t>
  </si>
  <si>
    <t>HP 15s Laptop</t>
  </si>
  <si>
    <t>ORD10587</t>
  </si>
  <si>
    <t>Nikhil Desai</t>
  </si>
  <si>
    <t>ORD10383</t>
  </si>
  <si>
    <t>Riya Rao</t>
  </si>
  <si>
    <t>Mangaluru</t>
  </si>
  <si>
    <t>Rahul</t>
  </si>
  <si>
    <t>ORD10697</t>
  </si>
  <si>
    <t>Aarav Gowda</t>
  </si>
  <si>
    <t>ORD10680</t>
  </si>
  <si>
    <t>Vikram Nair</t>
  </si>
  <si>
    <t>Ergonomic Office Chair</t>
  </si>
  <si>
    <t>ORD10257</t>
  </si>
  <si>
    <t>Arjun Verma</t>
  </si>
  <si>
    <t>ORD10133</t>
  </si>
  <si>
    <t>Kiran Desai</t>
  </si>
  <si>
    <t>ORD10098</t>
  </si>
  <si>
    <t>Kavya Kulkarni</t>
  </si>
  <si>
    <t>ORD10041</t>
  </si>
  <si>
    <t>Kiran Singh</t>
  </si>
  <si>
    <t>ORD10912</t>
  </si>
  <si>
    <t>ORD10023</t>
  </si>
  <si>
    <t>Aditya Desai</t>
  </si>
  <si>
    <t>Hyderabad</t>
  </si>
  <si>
    <t>Telangana</t>
  </si>
  <si>
    <t>ORD10115</t>
  </si>
  <si>
    <t>Rahul Mehta</t>
  </si>
  <si>
    <t>Samsung Galaxy A55</t>
  </si>
  <si>
    <t>ORD10560</t>
  </si>
  <si>
    <t>Nikhil Nair</t>
  </si>
  <si>
    <t>ORD10746</t>
  </si>
  <si>
    <t>Vikram Iyer</t>
  </si>
  <si>
    <t>ORD10205</t>
  </si>
  <si>
    <t>Kavya Desai</t>
  </si>
  <si>
    <t>ORD10448</t>
  </si>
  <si>
    <t>Aarav Joshi</t>
  </si>
  <si>
    <t>ORD10440</t>
  </si>
  <si>
    <t>Mysuru</t>
  </si>
  <si>
    <t>ORD10983</t>
  </si>
  <si>
    <t>Sneha Desai</t>
  </si>
  <si>
    <t>ORD10827</t>
  </si>
  <si>
    <t>Rohan Mehta</t>
  </si>
  <si>
    <t>Formal Shirt</t>
  </si>
  <si>
    <t>ORD10672</t>
  </si>
  <si>
    <t>Lucknow</t>
  </si>
  <si>
    <t>Uttar Pradesh</t>
  </si>
  <si>
    <t>Organizers</t>
  </si>
  <si>
    <t>Desk Organizer</t>
  </si>
  <si>
    <t>ORD10427</t>
  </si>
  <si>
    <t>Neha Joshi</t>
  </si>
  <si>
    <t>Paper</t>
  </si>
  <si>
    <t>A4 Copy Paper Box</t>
  </si>
  <si>
    <t>ORD10045</t>
  </si>
  <si>
    <t>Ananya Verma</t>
  </si>
  <si>
    <t>ORD10512</t>
  </si>
  <si>
    <t>Ananya Rao</t>
  </si>
  <si>
    <t>ORD10008</t>
  </si>
  <si>
    <t>Kavya Nair</t>
  </si>
  <si>
    <t>ORD10093</t>
  </si>
  <si>
    <t>Ishaan Patil</t>
  </si>
  <si>
    <t>ORD10233</t>
  </si>
  <si>
    <t>Kavya Patil</t>
  </si>
  <si>
    <t>ORD10806</t>
  </si>
  <si>
    <t>Pooja Kumar</t>
  </si>
  <si>
    <t>ORD10531</t>
  </si>
  <si>
    <t>Kiran Nair</t>
  </si>
  <si>
    <t>Dell Inspiron Laptop</t>
  </si>
  <si>
    <t>ORD10555</t>
  </si>
  <si>
    <t>Ishaan Joshi</t>
  </si>
  <si>
    <t>ORD10664</t>
  </si>
  <si>
    <t>Kavya Shetty</t>
  </si>
  <si>
    <t>ORD10681</t>
  </si>
  <si>
    <t>Rahul Iyer</t>
  </si>
  <si>
    <t>ORD10320</t>
  </si>
  <si>
    <t>Pooja Reddy</t>
  </si>
  <si>
    <t>ORD10728</t>
  </si>
  <si>
    <t>Meera Sharma</t>
  </si>
  <si>
    <t>ORD10196</t>
  </si>
  <si>
    <t>Rahul Desai</t>
  </si>
  <si>
    <t>ORD10701</t>
  </si>
  <si>
    <t>Pooja Shetty</t>
  </si>
  <si>
    <t>ORD10473</t>
  </si>
  <si>
    <t>Nikhil Singh</t>
  </si>
  <si>
    <t>ORD10950</t>
  </si>
  <si>
    <t>Sanjay Kumar</t>
  </si>
  <si>
    <t>ORD10266</t>
  </si>
  <si>
    <t>ORD10029</t>
  </si>
  <si>
    <t>Riya Kumar</t>
  </si>
  <si>
    <t>Kurti</t>
  </si>
  <si>
    <t>ORD10087</t>
  </si>
  <si>
    <t>Varun Desai</t>
  </si>
  <si>
    <t>ORD10643</t>
  </si>
  <si>
    <t>Rohan Patil</t>
  </si>
  <si>
    <t>ORD10656</t>
  </si>
  <si>
    <t>Arjun Sharma</t>
  </si>
  <si>
    <t>ORD10780</t>
  </si>
  <si>
    <t>Aditya Sharma</t>
  </si>
  <si>
    <t>ORD10222</t>
  </si>
  <si>
    <t>Pooja Iyer</t>
  </si>
  <si>
    <t>ORD10750</t>
  </si>
  <si>
    <t>Kiran Mehta</t>
  </si>
  <si>
    <t>ORD10985</t>
  </si>
  <si>
    <t>Vikram Reddy</t>
  </si>
  <si>
    <t>ORD10677</t>
  </si>
  <si>
    <t>Varun Joshi</t>
  </si>
  <si>
    <t>ORD10007</t>
  </si>
  <si>
    <t>ORD10478</t>
  </si>
  <si>
    <t>Arjun Mehta</t>
  </si>
  <si>
    <t>ORD10741</t>
  </si>
  <si>
    <t>Kiran Kulkarni</t>
  </si>
  <si>
    <t>ORD10575</t>
  </si>
  <si>
    <t>Sanjay Mehta</t>
  </si>
  <si>
    <t>ORD10928</t>
  </si>
  <si>
    <t>Ishaan Shetty</t>
  </si>
  <si>
    <t>ORD10033</t>
  </si>
  <si>
    <t>Varun Sharma</t>
  </si>
  <si>
    <t>ORD10391</t>
  </si>
  <si>
    <t>ORD10770</t>
  </si>
  <si>
    <t>Aditya Verma</t>
  </si>
  <si>
    <t>ORD10189</t>
  </si>
  <si>
    <t>Priya Desai</t>
  </si>
  <si>
    <t>ORD10375</t>
  </si>
  <si>
    <t>Pooja Singh</t>
  </si>
  <si>
    <t>ORD10778</t>
  </si>
  <si>
    <t>Ishaan Reddy</t>
  </si>
  <si>
    <t>ORD10965</t>
  </si>
  <si>
    <t>Kiran Patil</t>
  </si>
  <si>
    <t>ORD10801</t>
  </si>
  <si>
    <t>Ishaan Singh</t>
  </si>
  <si>
    <t>ORD10054</t>
  </si>
  <si>
    <t>ORD10060</t>
  </si>
  <si>
    <t>Varun Nair</t>
  </si>
  <si>
    <t>ORD10312</t>
  </si>
  <si>
    <t>ORD10484</t>
  </si>
  <si>
    <t>Priya Rao</t>
  </si>
  <si>
    <t>ORD10447</t>
  </si>
  <si>
    <t>Sneha Patil</t>
  </si>
  <si>
    <t>ORD10614</t>
  </si>
  <si>
    <t>ORD10319</t>
  </si>
  <si>
    <t>Vikram Kulkarni</t>
  </si>
  <si>
    <t>ORD10192</t>
  </si>
  <si>
    <t>Ishaan Desai</t>
  </si>
  <si>
    <t>ORD10807</t>
  </si>
  <si>
    <t>Vikram Joshi</t>
  </si>
  <si>
    <t>ORD10896</t>
  </si>
  <si>
    <t>Kavya Gowda</t>
  </si>
  <si>
    <t>ORD10194</t>
  </si>
  <si>
    <t>Riya Reddy</t>
  </si>
  <si>
    <t>ORD10072</t>
  </si>
  <si>
    <t>Arjun Nair</t>
  </si>
  <si>
    <t>Cooling</t>
  </si>
  <si>
    <t>Air Cooler</t>
  </si>
  <si>
    <t>ORD10590</t>
  </si>
  <si>
    <t>ORD10819</t>
  </si>
  <si>
    <t>Diya Verma</t>
  </si>
  <si>
    <t>ORD10521</t>
  </si>
  <si>
    <t>Varun Verma</t>
  </si>
  <si>
    <t>ORD10532</t>
  </si>
  <si>
    <t>Kavya Joshi</t>
  </si>
  <si>
    <t>ORD11000</t>
  </si>
  <si>
    <t>Rohan Sharma</t>
  </si>
  <si>
    <t>ORD10902</t>
  </si>
  <si>
    <t>ORD10981</t>
  </si>
  <si>
    <t>Neha Reddy</t>
  </si>
  <si>
    <t>ORD10536</t>
  </si>
  <si>
    <t>Rohan Gowda</t>
  </si>
  <si>
    <t>ORD10356</t>
  </si>
  <si>
    <t>Sanjay Nair</t>
  </si>
  <si>
    <t>ORD10413</t>
  </si>
  <si>
    <t>ORD10170</t>
  </si>
  <si>
    <t>Neha Kulkarni</t>
  </si>
  <si>
    <t>ORD10053</t>
  </si>
  <si>
    <t>Pooja Desai</t>
  </si>
  <si>
    <t>ORD10083</t>
  </si>
  <si>
    <t>Neha Sharma</t>
  </si>
  <si>
    <t>ORD10121</t>
  </si>
  <si>
    <t>Riya Singh</t>
  </si>
  <si>
    <t>ORD10101</t>
  </si>
  <si>
    <t>Kavya Iyer</t>
  </si>
  <si>
    <t>ORD10628</t>
  </si>
  <si>
    <t>Ananya Patil</t>
  </si>
  <si>
    <t>ORD10293</t>
  </si>
  <si>
    <t>Aditya Gowda</t>
  </si>
  <si>
    <t>ORD10879</t>
  </si>
  <si>
    <t>ORD10665</t>
  </si>
  <si>
    <t>Arjun Rao</t>
  </si>
  <si>
    <t>ORD10355</t>
  </si>
  <si>
    <t>Vikram Patil</t>
  </si>
  <si>
    <t>ORD10813</t>
  </si>
  <si>
    <t>Priya Patil</t>
  </si>
  <si>
    <t>ORD10100</t>
  </si>
  <si>
    <t>Rohan Rao</t>
  </si>
  <si>
    <t>ORD10493</t>
  </si>
  <si>
    <t>Sneha Reddy</t>
  </si>
  <si>
    <t>ORD10603</t>
  </si>
  <si>
    <t>Diya Kumar</t>
  </si>
  <si>
    <t>ORD10724</t>
  </si>
  <si>
    <t>Kavya Rao</t>
  </si>
  <si>
    <t>ORD10592</t>
  </si>
  <si>
    <t>ORD10028</t>
  </si>
  <si>
    <t>Aditya Patil</t>
  </si>
  <si>
    <t>ORD10621</t>
  </si>
  <si>
    <t>ORD10578</t>
  </si>
  <si>
    <t>ORD10227</t>
  </si>
  <si>
    <t>Sanjay Sharma</t>
  </si>
  <si>
    <t>ORD10707</t>
  </si>
  <si>
    <t>ORD10326</t>
  </si>
  <si>
    <t>ORD10825</t>
  </si>
  <si>
    <t>ORD10890</t>
  </si>
  <si>
    <t>Diya Nair</t>
  </si>
  <si>
    <t>ORD10410</t>
  </si>
  <si>
    <t>Aarav Verma</t>
  </si>
  <si>
    <t>ORD10641</t>
  </si>
  <si>
    <t>ORD10481</t>
  </si>
  <si>
    <t>ORD10176</t>
  </si>
  <si>
    <t>Rahul Patil</t>
  </si>
  <si>
    <t>ORD10318</t>
  </si>
  <si>
    <t>ORD10431</t>
  </si>
  <si>
    <t>Aditya Kumar</t>
  </si>
  <si>
    <t>ORD10850</t>
  </si>
  <si>
    <t>Kiran Rao</t>
  </si>
  <si>
    <t>ORD10264</t>
  </si>
  <si>
    <t>Sanjay Reddy</t>
  </si>
  <si>
    <t>ORD10554</t>
  </si>
  <si>
    <t>ORD10869</t>
  </si>
  <si>
    <t>Aarav Shetty</t>
  </si>
  <si>
    <t>ORD10148</t>
  </si>
  <si>
    <t>Riya Kulkarni</t>
  </si>
  <si>
    <t>ORD10935</t>
  </si>
  <si>
    <t>ORD10411</t>
  </si>
  <si>
    <t>Priya Iyer</t>
  </si>
  <si>
    <t>ORD10975</t>
  </si>
  <si>
    <t>Arjun Desai</t>
  </si>
  <si>
    <t>ORD10625</t>
  </si>
  <si>
    <t>ORD10692</t>
  </si>
  <si>
    <t>ORD10588</t>
  </si>
  <si>
    <t>ORD10005</t>
  </si>
  <si>
    <t>Arjun Shetty</t>
  </si>
  <si>
    <t>ORD10510</t>
  </si>
  <si>
    <t>ORD10186</t>
  </si>
  <si>
    <t>ORD10211</t>
  </si>
  <si>
    <t>Sanjay Patil</t>
  </si>
  <si>
    <t>ORD10064</t>
  </si>
  <si>
    <t>Aditya Rao</t>
  </si>
  <si>
    <t>ORD10991</t>
  </si>
  <si>
    <t>ORD10379</t>
  </si>
  <si>
    <t>Aarav Sharma</t>
  </si>
  <si>
    <t>ORD10058</t>
  </si>
  <si>
    <t>Vikram Rao</t>
  </si>
  <si>
    <t>ORD10579</t>
  </si>
  <si>
    <t>Rohan Verma</t>
  </si>
  <si>
    <t>ORD10631</t>
  </si>
  <si>
    <t>ORD10547</t>
  </si>
  <si>
    <t>ORD10486</t>
  </si>
  <si>
    <t>ORD10031</t>
  </si>
  <si>
    <t>Neha Kumar</t>
  </si>
  <si>
    <t>ORD10943</t>
  </si>
  <si>
    <t>ORD10546</t>
  </si>
  <si>
    <t>Rahul Sharma</t>
  </si>
  <si>
    <t>ORD10504</t>
  </si>
  <si>
    <t>Meera Desai</t>
  </si>
  <si>
    <t>ORD10883</t>
  </si>
  <si>
    <t>ORD10434</t>
  </si>
  <si>
    <t>ORD10829</t>
  </si>
  <si>
    <t>Ananya Reddy</t>
  </si>
  <si>
    <t>ORD10275</t>
  </si>
  <si>
    <t>ORD10433</t>
  </si>
  <si>
    <t>Varun Kulkarni</t>
  </si>
  <si>
    <t>ORD10182</t>
  </si>
  <si>
    <t>Nikhil Shetty</t>
  </si>
  <si>
    <t>ORD10470</t>
  </si>
  <si>
    <t>ORD10079</t>
  </si>
  <si>
    <t>ORD10925</t>
  </si>
  <si>
    <t>Priya Singh</t>
  </si>
  <si>
    <t>ORD10833</t>
  </si>
  <si>
    <t>Ishaan Kulkarni</t>
  </si>
  <si>
    <t>ORD10503</t>
  </si>
  <si>
    <t>ORD10143</t>
  </si>
  <si>
    <t>Meera Verma</t>
  </si>
  <si>
    <t>ORD10933</t>
  </si>
  <si>
    <t>ORD10868</t>
  </si>
  <si>
    <t>Rahul Shetty</t>
  </si>
  <si>
    <t>ORD10095</t>
  </si>
  <si>
    <t>Riya Sharma</t>
  </si>
  <si>
    <t>ORD10485</t>
  </si>
  <si>
    <t>Arjun Patil</t>
  </si>
  <si>
    <t>ORD10454</t>
  </si>
  <si>
    <t>ORD10416</t>
  </si>
  <si>
    <t>Ananya Desai</t>
  </si>
  <si>
    <t>ORD10225</t>
  </si>
  <si>
    <t>Kavya Kumar</t>
  </si>
  <si>
    <t>ORD10804</t>
  </si>
  <si>
    <t>Kavya Reddy</t>
  </si>
  <si>
    <t>ORD10834</t>
  </si>
  <si>
    <t>Diya Desai</t>
  </si>
  <si>
    <t>ORD10607</t>
  </si>
  <si>
    <t>ORD10837</t>
  </si>
  <si>
    <t>Sanjay Shetty</t>
  </si>
  <si>
    <t>ORD10866</t>
  </si>
  <si>
    <t>ORD10843</t>
  </si>
  <si>
    <t>Varun Gowda</t>
  </si>
  <si>
    <t>ORD10445</t>
  </si>
  <si>
    <t>Nikhil Joshi</t>
  </si>
  <si>
    <t>ORD10610</t>
  </si>
  <si>
    <t>Ananya Gowda</t>
  </si>
  <si>
    <t>ORD10066</t>
  </si>
  <si>
    <t>Ananya Kulkarni</t>
  </si>
  <si>
    <t>ORD10376</t>
  </si>
  <si>
    <t>Kiran Sharma</t>
  </si>
  <si>
    <t>ORD10057</t>
  </si>
  <si>
    <t>Pooja Mehta</t>
  </si>
  <si>
    <t>ORD10327</t>
  </si>
  <si>
    <t>Sneha Iyer</t>
  </si>
  <si>
    <t>ORD10365</t>
  </si>
  <si>
    <t>ORD10891</t>
  </si>
  <si>
    <t>Arjun Reddy</t>
  </si>
  <si>
    <t>ORD10260</t>
  </si>
  <si>
    <t>Priya Sharma</t>
  </si>
  <si>
    <t>ORD10615</t>
  </si>
  <si>
    <t>ORD10580</t>
  </si>
  <si>
    <t>ORD10544</t>
  </si>
  <si>
    <t>ORD10106</t>
  </si>
  <si>
    <t>ORD10791</t>
  </si>
  <si>
    <t>ORD10745</t>
  </si>
  <si>
    <t>ORD10576</t>
  </si>
  <si>
    <t>Ishaan Gowda</t>
  </si>
  <si>
    <t>ORD10876</t>
  </si>
  <si>
    <t>ORD10705</t>
  </si>
  <si>
    <t>Aarav Patil</t>
  </si>
  <si>
    <t>ORD10348</t>
  </si>
  <si>
    <t>ORD10523</t>
  </si>
  <si>
    <t>ORD10785</t>
  </si>
  <si>
    <t>ORD10247</t>
  </si>
  <si>
    <t>Vikram Kumar</t>
  </si>
  <si>
    <t>ORD10089</t>
  </si>
  <si>
    <t>Vikram Verma</t>
  </si>
  <si>
    <t>ORD10821</t>
  </si>
  <si>
    <t>ORD10670</t>
  </si>
  <si>
    <t>ORD10895</t>
  </si>
  <si>
    <t>ORD10792</t>
  </si>
  <si>
    <t>Vikram Mehta</t>
  </si>
  <si>
    <t>ORD10020</t>
  </si>
  <si>
    <t>ORD10653</t>
  </si>
  <si>
    <t>Aarav Rao</t>
  </si>
  <si>
    <t>ORD10490</t>
  </si>
  <si>
    <t>Sneha Kumar</t>
  </si>
  <si>
    <t>ORD10429</t>
  </si>
  <si>
    <t>ORD10627</t>
  </si>
  <si>
    <t>Aarav Singh</t>
  </si>
  <si>
    <t>ORD10172</t>
  </si>
  <si>
    <t>ORD10528</t>
  </si>
  <si>
    <t>Diya Gowda</t>
  </si>
  <si>
    <t>ORD10280</t>
  </si>
  <si>
    <t>Rahul Rao</t>
  </si>
  <si>
    <t>ORD10885</t>
  </si>
  <si>
    <t>Nikhil Kulkarni</t>
  </si>
  <si>
    <t>ORD10076</t>
  </si>
  <si>
    <t>ORD10899</t>
  </si>
  <si>
    <t>ORD10249</t>
  </si>
  <si>
    <t>ORD10671</t>
  </si>
  <si>
    <t>ORD10550</t>
  </si>
  <si>
    <t>Diya Iyer</t>
  </si>
  <si>
    <t>ORD10158</t>
  </si>
  <si>
    <t>Sanjay Iyer</t>
  </si>
  <si>
    <t>ORD10043</t>
  </si>
  <si>
    <t>ORD10424</t>
  </si>
  <si>
    <t>ORD10325</t>
  </si>
  <si>
    <t>ORD10387</t>
  </si>
  <si>
    <t>ORD10177</t>
  </si>
  <si>
    <t>ORD10597</t>
  </si>
  <si>
    <t>Diya Kulkarni</t>
  </si>
  <si>
    <t>ORD10224</t>
  </si>
  <si>
    <t>Varun Rao</t>
  </si>
  <si>
    <t>ORD10261</t>
  </si>
  <si>
    <t>Riya Verma</t>
  </si>
  <si>
    <t>ORD10573</t>
  </si>
  <si>
    <t>ORD10645</t>
  </si>
  <si>
    <t>ORD10961</t>
  </si>
  <si>
    <t>ORD10683</t>
  </si>
  <si>
    <t>ORD10049</t>
  </si>
  <si>
    <t>ORD10349</t>
  </si>
  <si>
    <t>ORD10082</t>
  </si>
  <si>
    <t>ORD10164</t>
  </si>
  <si>
    <t>ORD10898</t>
  </si>
  <si>
    <t>ORD10633</t>
  </si>
  <si>
    <t>ORD10197</t>
  </si>
  <si>
    <t>ORD10449</t>
  </si>
  <si>
    <t>Priya Nair</t>
  </si>
  <si>
    <t>ORD10553</t>
  </si>
  <si>
    <t>Priya Reddy</t>
  </si>
  <si>
    <t>ORD10405</t>
  </si>
  <si>
    <t>ORD10457</t>
  </si>
  <si>
    <t>Sneha Sharma</t>
  </si>
  <si>
    <t>ORD10604</t>
  </si>
  <si>
    <t>Sneha Verma</t>
  </si>
  <si>
    <t>ORD10107</t>
  </si>
  <si>
    <t>ORD10385</t>
  </si>
  <si>
    <t>ORD10511</t>
  </si>
  <si>
    <t>ORD10287</t>
  </si>
  <si>
    <t>ORD10556</t>
  </si>
  <si>
    <t>ORD10228</t>
  </si>
  <si>
    <t>Meera Singh</t>
  </si>
  <si>
    <t>ORD10456</t>
  </si>
  <si>
    <t>ORD10284</t>
  </si>
  <si>
    <t>ORD10085</t>
  </si>
  <si>
    <t>Pooja Patil</t>
  </si>
  <si>
    <t>ORD10237</t>
  </si>
  <si>
    <t>ORD10881</t>
  </si>
  <si>
    <t>Aarav Desai</t>
  </si>
  <si>
    <t>ORD10530</t>
  </si>
  <si>
    <t>ORD10461</t>
  </si>
  <si>
    <t>Arjun Kulkarni</t>
  </si>
  <si>
    <t>ORD10242</t>
  </si>
  <si>
    <t>Pooja Verma</t>
  </si>
  <si>
    <t>ORD10223</t>
  </si>
  <si>
    <t>ORD10657</t>
  </si>
  <si>
    <t>ORD10721</t>
  </si>
  <si>
    <t>ORD10047</t>
  </si>
  <si>
    <t>ORD10638</t>
  </si>
  <si>
    <t>ORD10646</t>
  </si>
  <si>
    <t>Meera Kulkarni</t>
  </si>
  <si>
    <t>ORD10972</t>
  </si>
  <si>
    <t>Priya Mehta</t>
  </si>
  <si>
    <t>ORD10139</t>
  </si>
  <si>
    <t>Diya Sharma</t>
  </si>
  <si>
    <t>ORD10841</t>
  </si>
  <si>
    <t>Riya Desai</t>
  </si>
  <si>
    <t>ORD10600</t>
  </si>
  <si>
    <t>Varun Shetty</t>
  </si>
  <si>
    <t>ORD10567</t>
  </si>
  <si>
    <t>ORD10476</t>
  </si>
  <si>
    <t>ORD10639</t>
  </si>
  <si>
    <t>Priya Gowda</t>
  </si>
  <si>
    <t>ORD10757</t>
  </si>
  <si>
    <t>ORD10765</t>
  </si>
  <si>
    <t>Aditya Mehta</t>
  </si>
  <si>
    <t>ORD10370</t>
  </si>
  <si>
    <t>Vikram Gowda</t>
  </si>
  <si>
    <t>ORD10217</t>
  </si>
  <si>
    <t>ORD10777</t>
  </si>
  <si>
    <t>ORD10372</t>
  </si>
  <si>
    <t>ORD10795</t>
  </si>
  <si>
    <t>Diya Singh</t>
  </si>
  <si>
    <t>ORD10549</t>
  </si>
  <si>
    <t>ORD10612</t>
  </si>
  <si>
    <t>ORD10732</t>
  </si>
  <si>
    <t>Rahul Verma</t>
  </si>
  <si>
    <t>ORD10443</t>
  </si>
  <si>
    <t>ORD10245</t>
  </si>
  <si>
    <t>ORD10984</t>
  </si>
  <si>
    <t>ORD10674</t>
  </si>
  <si>
    <t>ORD10001</t>
  </si>
  <si>
    <t>ORD10423</t>
  </si>
  <si>
    <t>Priya Shetty</t>
  </si>
  <si>
    <t>ORD10977</t>
  </si>
  <si>
    <t>ORD10914</t>
  </si>
  <si>
    <t>ORD10198</t>
  </si>
  <si>
    <t>ORD10024</t>
  </si>
  <si>
    <t>ORD10962</t>
  </si>
  <si>
    <t>Diya Reddy</t>
  </si>
  <si>
    <t>ORD10642</t>
  </si>
  <si>
    <t>Vikram Shetty</t>
  </si>
  <si>
    <t>ORD10722</t>
  </si>
  <si>
    <t>Neha Mehta</t>
  </si>
  <si>
    <t>ORD10932</t>
  </si>
  <si>
    <t>ORD10786</t>
  </si>
  <si>
    <t>ORD10357</t>
  </si>
  <si>
    <t>ORD10463</t>
  </si>
  <si>
    <t>Ananya Joshi</t>
  </si>
  <si>
    <t>ORD10116</t>
  </si>
  <si>
    <t>ORD10187</t>
  </si>
  <si>
    <t>ORD10398</t>
  </si>
  <si>
    <t>ORD10015</t>
  </si>
  <si>
    <t>Aarav Kulkarni</t>
  </si>
  <si>
    <t>ORD10608</t>
  </si>
  <si>
    <t>ORD10112</t>
  </si>
  <si>
    <t>ORD10096</t>
  </si>
  <si>
    <t>Aditya Reddy</t>
  </si>
  <si>
    <t>ORD10207</t>
  </si>
  <si>
    <t>ORD10199</t>
  </si>
  <si>
    <t>Riya Joshi</t>
  </si>
  <si>
    <t>ORD10709</t>
  </si>
  <si>
    <t>Nikhil Rao</t>
  </si>
  <si>
    <t>ORD10913</t>
  </si>
  <si>
    <t>ORD10574</t>
  </si>
  <si>
    <t>ORD10945</t>
  </si>
  <si>
    <t>ORD10759</t>
  </si>
  <si>
    <t>ORD10861</t>
  </si>
  <si>
    <t>ORD10784</t>
  </si>
  <si>
    <t>Neha Singh</t>
  </si>
  <si>
    <t>ORD10594</t>
  </si>
  <si>
    <t>Ananya Mehta</t>
  </si>
  <si>
    <t>ORD10040</t>
  </si>
  <si>
    <t>Priya Kumar</t>
  </si>
  <si>
    <t>ORD10800</t>
  </si>
  <si>
    <t>ORD10341</t>
  </si>
  <si>
    <t>ORD10330</t>
  </si>
  <si>
    <t>Aditya Iyer</t>
  </si>
  <si>
    <t>ORD10930</t>
  </si>
  <si>
    <t>Pooja Gowda</t>
  </si>
  <si>
    <t>ORD10875</t>
  </si>
  <si>
    <t>ORD10513</t>
  </si>
  <si>
    <t>ORD10620</t>
  </si>
  <si>
    <t>Meera Joshi</t>
  </si>
  <si>
    <t>ORD10307</t>
  </si>
  <si>
    <t>Sneha Mehta</t>
  </si>
  <si>
    <t>ORD10167</t>
  </si>
  <si>
    <t>ORD10118</t>
  </si>
  <si>
    <t>Arjun Singh</t>
  </si>
  <si>
    <t>ORD10274</t>
  </si>
  <si>
    <t>ORD10823</t>
  </si>
  <si>
    <t>ORD10998</t>
  </si>
  <si>
    <t>ORD10882</t>
  </si>
  <si>
    <t>Pooja Nair</t>
  </si>
  <si>
    <t>ORD10909</t>
  </si>
  <si>
    <t>ORD10926</t>
  </si>
  <si>
    <t>Pooja Rao</t>
  </si>
  <si>
    <t>ORD10215</t>
  </si>
  <si>
    <t>Varun Reddy</t>
  </si>
  <si>
    <t>ORD10918</t>
  </si>
  <si>
    <t>Rohan Iyer</t>
  </si>
  <si>
    <t>ORD10596</t>
  </si>
  <si>
    <t>ORD10562</t>
  </si>
  <si>
    <t>ORD10534</t>
  </si>
  <si>
    <t>ORD10540</t>
  </si>
  <si>
    <t>ORD10662</t>
  </si>
  <si>
    <t>ORD10025</t>
  </si>
  <si>
    <t>ORD10465</t>
  </si>
  <si>
    <t>ORD10828</t>
  </si>
  <si>
    <t>Rohan Shetty</t>
  </si>
  <si>
    <t>ORD10740</t>
  </si>
  <si>
    <t>ORD10727</t>
  </si>
  <si>
    <t>ORD10109</t>
  </si>
  <si>
    <t>ORD10430</t>
  </si>
  <si>
    <t>ORD10048</t>
  </si>
  <si>
    <t>ORD10345</t>
  </si>
  <si>
    <t>ORD10394</t>
  </si>
  <si>
    <t>Rohan Singh</t>
  </si>
  <si>
    <t>ORD10241</t>
  </si>
  <si>
    <t>ORD10901</t>
  </si>
  <si>
    <t>ORD10152</t>
  </si>
  <si>
    <t>ORD10797</t>
  </si>
  <si>
    <t>Neha Iyer</t>
  </si>
  <si>
    <t>ORD10710</t>
  </si>
  <si>
    <t>ORD10527</t>
  </si>
  <si>
    <t>ORD10333</t>
  </si>
  <si>
    <t>ORD10973</t>
  </si>
  <si>
    <t>Meera Reddy</t>
  </si>
  <si>
    <t>ORD10744</t>
  </si>
  <si>
    <t>Neha Verma</t>
  </si>
  <si>
    <t>ORD10014</t>
  </si>
  <si>
    <t>ORD10209</t>
  </si>
  <si>
    <t>ORD10661</t>
  </si>
  <si>
    <t>ORD10421</t>
  </si>
  <si>
    <t>ORD10980</t>
  </si>
  <si>
    <t>Aarav Reddy</t>
  </si>
  <si>
    <t>ORD10369</t>
  </si>
  <si>
    <t>ORD10123</t>
  </si>
  <si>
    <t>ORD10308</t>
  </si>
  <si>
    <t>ORD10860</t>
  </si>
  <si>
    <t>ORD10032</t>
  </si>
  <si>
    <t>ORD10063</t>
  </si>
  <si>
    <t>ORD10368</t>
  </si>
  <si>
    <t>ORD10630</t>
  </si>
  <si>
    <t>ORD10366</t>
  </si>
  <si>
    <t>Aarav Mehta</t>
  </si>
  <si>
    <t>ORD10988</t>
  </si>
  <si>
    <t>Varun Patil</t>
  </si>
  <si>
    <t>ORD10441</t>
  </si>
  <si>
    <t>ORD10737</t>
  </si>
  <si>
    <t>ORD10970</t>
  </si>
  <si>
    <t>Nikhil Reddy</t>
  </si>
  <si>
    <t>ORD10361</t>
  </si>
  <si>
    <t>Kiran Verma</t>
  </si>
  <si>
    <t>ORD10351</t>
  </si>
  <si>
    <t>ORD10339</t>
  </si>
  <si>
    <t>ORD10092</t>
  </si>
  <si>
    <t>Riya Iyer</t>
  </si>
  <si>
    <t>ORD10039</t>
  </si>
  <si>
    <t>Ananya Nair</t>
  </si>
  <si>
    <t>ORD10091</t>
  </si>
  <si>
    <t>ORD10324</t>
  </si>
  <si>
    <t>ORD10595</t>
  </si>
  <si>
    <t>Rahul Singh</t>
  </si>
  <si>
    <t>ORD10299</t>
  </si>
  <si>
    <t>ORD10563</t>
  </si>
  <si>
    <t>ORD10874</t>
  </si>
  <si>
    <t>Rahul Kulkarni</t>
  </si>
  <si>
    <t>ORD10475</t>
  </si>
  <si>
    <t>ORD10871</t>
  </si>
  <si>
    <t>Rohan Kumar</t>
  </si>
  <si>
    <t>ORD10169</t>
  </si>
  <si>
    <t>ORD10161</t>
  </si>
  <si>
    <t>ORD10402</t>
  </si>
  <si>
    <t>Aditya Singh</t>
  </si>
  <si>
    <t>ORD10920</t>
  </si>
  <si>
    <t>Riya Shetty</t>
  </si>
  <si>
    <t>ORD10951</t>
  </si>
  <si>
    <t>ORD10618</t>
  </si>
  <si>
    <t>Meera Rao</t>
  </si>
  <si>
    <t>ORD10906</t>
  </si>
  <si>
    <t>ORD10238</t>
  </si>
  <si>
    <t>ORD10467</t>
  </si>
  <si>
    <t>ORD10077</t>
  </si>
  <si>
    <t>ORD10140</t>
  </si>
  <si>
    <t>ORD10262</t>
  </si>
  <si>
    <t>ORD10016</t>
  </si>
  <si>
    <t>ORD10310</t>
  </si>
  <si>
    <t>ORD10505</t>
  </si>
  <si>
    <t>ORD10113</t>
  </si>
  <si>
    <t>ORD10846</t>
  </si>
  <si>
    <t>Sanjay Verma</t>
  </si>
  <si>
    <t>ORD10910</t>
  </si>
  <si>
    <t>ORD10193</t>
  </si>
  <si>
    <t>Riya Nair</t>
  </si>
  <si>
    <t>ORD10270</t>
  </si>
  <si>
    <t>ORD10669</t>
  </si>
  <si>
    <t>Neha Shetty</t>
  </si>
  <si>
    <t>ORD10854</t>
  </si>
  <si>
    <t>ORD10938</t>
  </si>
  <si>
    <t>Ishaan Kumar</t>
  </si>
  <si>
    <t>ORD10127</t>
  </si>
  <si>
    <t>ORD10570</t>
  </si>
  <si>
    <t>ORD10235</t>
  </si>
  <si>
    <t>ORD10104</t>
  </si>
  <si>
    <t>ORD10666</t>
  </si>
  <si>
    <t>Sanjay Gowda</t>
  </si>
  <si>
    <t>ORD10713</t>
  </si>
  <si>
    <t>ORD10081</t>
  </si>
  <si>
    <t>ORD10384</t>
  </si>
  <si>
    <t>ORD10781</t>
  </si>
  <si>
    <t>Rohan Nair</t>
  </si>
  <si>
    <t>ORD10302</t>
  </si>
  <si>
    <t>Neha Desai</t>
  </si>
  <si>
    <t>ORD10317</t>
  </si>
  <si>
    <t>Kiran Gowda</t>
  </si>
  <si>
    <t>ORD10577</t>
  </si>
  <si>
    <t>Ishaan Verma</t>
  </si>
  <si>
    <t>ORD10699</t>
  </si>
  <si>
    <t>ORD10496</t>
  </si>
  <si>
    <t>Arjun Iyer</t>
  </si>
  <si>
    <t>ORD10822</t>
  </si>
  <si>
    <t>ORD10599</t>
  </si>
  <si>
    <t>ORD10718</t>
  </si>
  <si>
    <t>ORD10283</t>
  </si>
  <si>
    <t>ORD10960</t>
  </si>
  <si>
    <t>ORD10838</t>
  </si>
  <si>
    <t>ORD10753</t>
  </si>
  <si>
    <t>ORD10974</t>
  </si>
  <si>
    <t>ORD10435</t>
  </si>
  <si>
    <t>ORD10362</t>
  </si>
  <si>
    <t>ORD10969</t>
  </si>
  <si>
    <t>ORD10859</t>
  </si>
  <si>
    <t>ORD10012</t>
  </si>
  <si>
    <t>ORD10808</t>
  </si>
  <si>
    <t>Sneha Nair</t>
  </si>
  <si>
    <t>ORD10230</t>
  </si>
  <si>
    <t>ORD10221</t>
  </si>
  <si>
    <t>ORD10482</t>
  </si>
  <si>
    <t>ORD10056</t>
  </si>
  <si>
    <t>ORD10134</t>
  </si>
  <si>
    <t>Aditya Joshi</t>
  </si>
  <si>
    <t>ORD10328</t>
  </si>
  <si>
    <t>ORD10971</t>
  </si>
  <si>
    <t>ORD10855</t>
  </si>
  <si>
    <t>ORD10035</t>
  </si>
  <si>
    <t>ORD10256</t>
  </si>
  <si>
    <t>ORD10214</t>
  </si>
  <si>
    <t>ORD10021</t>
  </si>
  <si>
    <t>Aditya Shetty</t>
  </si>
  <si>
    <t>ORD10720</t>
  </si>
  <si>
    <t>ORD10805</t>
  </si>
  <si>
    <t>ORD10004</t>
  </si>
  <si>
    <t>ORD10403</t>
  </si>
  <si>
    <t>ORD10561</t>
  </si>
  <si>
    <t>ORD10941</t>
  </si>
  <si>
    <t>ORD10289</t>
  </si>
  <si>
    <t>ORD10469</t>
  </si>
  <si>
    <t>ORD10446</t>
  </si>
  <si>
    <t>ORD10946</t>
  </si>
  <si>
    <t>ORD10506</t>
  </si>
  <si>
    <t>ORD10229</t>
  </si>
  <si>
    <t>ORD10557</t>
  </si>
  <si>
    <t>Ishaan Rao</t>
  </si>
  <si>
    <t>ORD10046</t>
  </si>
  <si>
    <t>ORD10626</t>
  </si>
  <si>
    <t>ORD10373</t>
  </si>
  <si>
    <t>ORD10581</t>
  </si>
  <si>
    <t>ORD10114</t>
  </si>
  <si>
    <t>ORD10354</t>
  </si>
  <si>
    <t>ORD10571</t>
  </si>
  <si>
    <t>Arjun Joshi</t>
  </si>
  <si>
    <t>ORD10541</t>
  </si>
  <si>
    <t>ORD10525</t>
  </si>
  <si>
    <t>ORD10253</t>
  </si>
  <si>
    <t>ORD10171</t>
  </si>
  <si>
    <t>ORD10420</t>
  </si>
  <si>
    <t>ORD10937</t>
  </si>
  <si>
    <t>ORD10352</t>
  </si>
  <si>
    <t>ORD10138</t>
  </si>
  <si>
    <t>ORD10145</t>
  </si>
  <si>
    <t>ORD10406</t>
  </si>
  <si>
    <t>ORD10062</t>
  </si>
  <si>
    <t>ORD10103</t>
  </si>
  <si>
    <t>ORD10243</t>
  </si>
  <si>
    <t>Priya Kulkarni</t>
  </si>
  <si>
    <t>ORD10097</t>
  </si>
  <si>
    <t>Riya Patil</t>
  </si>
  <si>
    <t>ORD10814</t>
  </si>
  <si>
    <t>Vikram Singh</t>
  </si>
  <si>
    <t>ORD10422</t>
  </si>
  <si>
    <t>ORD10439</t>
  </si>
  <si>
    <t>Nikhil Patil</t>
  </si>
  <si>
    <t>ORD10622</t>
  </si>
  <si>
    <t>ORD10436</t>
  </si>
  <si>
    <t>ORD10810</t>
  </si>
  <si>
    <t>ORD10830</t>
  </si>
  <si>
    <t>ORD10497</t>
  </si>
  <si>
    <t>ORD10151</t>
  </si>
  <si>
    <t>Kiran Iyer</t>
  </si>
  <si>
    <t>ORD10849</t>
  </si>
  <si>
    <t>ORD10897</t>
  </si>
  <si>
    <t>Pooja Kulkarni</t>
  </si>
  <si>
    <t>ORD10181</t>
  </si>
  <si>
    <t>Sanjay Desai</t>
  </si>
  <si>
    <t>ORD10731</t>
  </si>
  <si>
    <t>ORD10051</t>
  </si>
  <si>
    <t>ORD10371</t>
  </si>
  <si>
    <t>ORD10392</t>
  </si>
  <si>
    <t>Neha Nair</t>
  </si>
  <si>
    <t>ORD10346</t>
  </si>
  <si>
    <t>ORD10907</t>
  </si>
  <si>
    <t>ORD10065</t>
  </si>
  <si>
    <t>ORD10736</t>
  </si>
  <si>
    <t>ORD10539</t>
  </si>
  <si>
    <t>Rohan Reddy</t>
  </si>
  <si>
    <t>ORD10086</t>
  </si>
  <si>
    <t>ORD10755</t>
  </si>
  <si>
    <t>ORD10788</t>
  </si>
  <si>
    <t>ORD10146</t>
  </si>
  <si>
    <t>Ishaan Iyer</t>
  </si>
  <si>
    <t>ORD10206</t>
  </si>
  <si>
    <t>Neha Gowda</t>
  </si>
  <si>
    <t>ORD10180</t>
  </si>
  <si>
    <t>ORD10715</t>
  </si>
  <si>
    <t>ORD10929</t>
  </si>
  <si>
    <t>ORD10839</t>
  </si>
  <si>
    <t>ORD10153</t>
  </si>
  <si>
    <t>ORD10966</t>
  </si>
  <si>
    <t>ORD10947</t>
  </si>
  <si>
    <t>ORD10751</t>
  </si>
  <si>
    <t>ORD10858</t>
  </si>
  <si>
    <t>Varun Mehta</t>
  </si>
  <si>
    <t>ORD10400</t>
  </si>
  <si>
    <t>ORD10845</t>
  </si>
  <si>
    <t>Aarav Kumar</t>
  </si>
  <si>
    <t>ORD10130</t>
  </si>
  <si>
    <t>ORD10428</t>
  </si>
  <si>
    <t>ORD10259</t>
  </si>
  <si>
    <t>ORD10783</t>
  </si>
  <si>
    <t>Sanjay Joshi</t>
  </si>
  <si>
    <t>ORD10501</t>
  </si>
  <si>
    <t>ORD10711</t>
  </si>
  <si>
    <t>ORD10811</t>
  </si>
  <si>
    <t>ORD10853</t>
  </si>
  <si>
    <t>ORD10078</t>
  </si>
  <si>
    <t>ORD10220</t>
  </si>
  <si>
    <t>ORD10706</t>
  </si>
  <si>
    <t>ORD10887</t>
  </si>
  <si>
    <t>Arjun Gowda</t>
  </si>
  <si>
    <t>ORD10787</t>
  </si>
  <si>
    <t>Varun Singh</t>
  </si>
  <si>
    <t>ORD10606</t>
  </si>
  <si>
    <t>ORD10867</t>
  </si>
  <si>
    <t>ORD10055</t>
  </si>
  <si>
    <t>ORD10102</t>
  </si>
  <si>
    <t>ORD10507</t>
  </si>
  <si>
    <t>ORD10285</t>
  </si>
  <si>
    <t>ORD10815</t>
  </si>
  <si>
    <t>ORD10979</t>
  </si>
  <si>
    <t>ORD10282</t>
  </si>
  <si>
    <t>ORD10538</t>
  </si>
  <si>
    <t>ORD10489</t>
  </si>
  <si>
    <t>ORD10301</t>
  </si>
  <si>
    <t>ORD10080</t>
  </si>
  <si>
    <t>Sneha Joshi</t>
  </si>
  <si>
    <t>ORD10190</t>
  </si>
  <si>
    <t>ORD10150</t>
  </si>
  <si>
    <t>ORD10904</t>
  </si>
  <si>
    <t>ORD10027</t>
  </si>
  <si>
    <t>ORD10789</t>
  </si>
  <si>
    <t>ORD10514</t>
  </si>
  <si>
    <t>ORD10729</t>
  </si>
  <si>
    <t>ORD10635</t>
  </si>
  <si>
    <t>ORD10752</t>
  </si>
  <si>
    <t>ORD10321</t>
  </si>
  <si>
    <t>ORD10743</t>
  </si>
  <si>
    <t>ORD10036</t>
  </si>
  <si>
    <t>Meera Mehta</t>
  </si>
  <si>
    <t>ORD10967</t>
  </si>
  <si>
    <t>ORD10832</t>
  </si>
  <si>
    <t>ORD10644</t>
  </si>
  <si>
    <t>ORD10037</t>
  </si>
  <si>
    <t>ORD10686</t>
  </si>
  <si>
    <t>ORD10880</t>
  </si>
  <si>
    <t>ORD10754</t>
  </si>
  <si>
    <t>ORD10687</t>
  </si>
  <si>
    <t>ORD10637</t>
  </si>
  <si>
    <t>Ananya Iyer</t>
  </si>
  <si>
    <t>ORD10982</t>
  </si>
  <si>
    <t>ORD10388</t>
  </si>
  <si>
    <t>ORD10953</t>
  </si>
  <si>
    <t>ORD10219</t>
  </si>
  <si>
    <t>ORD10437</t>
  </si>
  <si>
    <t>Nikhil Iyer</t>
  </si>
  <si>
    <t>ORD10142</t>
  </si>
  <si>
    <t>ORD10279</t>
  </si>
  <si>
    <t>Kavya Sharma</t>
  </si>
  <si>
    <t>ORD10331</t>
  </si>
  <si>
    <t>ORD10668</t>
  </si>
  <si>
    <t>ORD10397</t>
  </si>
  <si>
    <t>ORD10591</t>
  </si>
  <si>
    <t>ORD10432</t>
  </si>
  <si>
    <t>ORD10374</t>
  </si>
  <si>
    <t>ORD10520</t>
  </si>
  <si>
    <t>ORD10240</t>
  </si>
  <si>
    <t>ORD10084</t>
  </si>
  <si>
    <t>ORD10175</t>
  </si>
  <si>
    <t>Ishaan Mehta</t>
  </si>
  <si>
    <t>ORD10236</t>
  </si>
  <si>
    <t>ORD10378</t>
  </si>
  <si>
    <t>ORD10347</t>
  </si>
  <si>
    <t>Riya Gowda</t>
  </si>
  <si>
    <t>ORD10480</t>
  </si>
  <si>
    <t>ORD10758</t>
  </si>
  <si>
    <t>ORD10459</t>
  </si>
  <si>
    <t>ORD10548</t>
  </si>
  <si>
    <t>ORD10649</t>
  </si>
  <si>
    <t>ORD10332</t>
  </si>
  <si>
    <t>ORD10305</t>
  </si>
  <si>
    <t>ORD10949</t>
  </si>
  <si>
    <t>ORD10774</t>
  </si>
  <si>
    <t>ORD10313</t>
  </si>
  <si>
    <t>ORD10864</t>
  </si>
  <si>
    <t>Kiran Reddy</t>
  </si>
  <si>
    <t>ORD10393</t>
  </si>
  <si>
    <t>ORD10767</t>
  </si>
  <si>
    <t>Rahul Kumar</t>
  </si>
  <si>
    <t>ORD10137</t>
  </si>
  <si>
    <t>Meera Kumar</t>
  </si>
  <si>
    <t>ORD10323</t>
  </si>
  <si>
    <t>ORD10963</t>
  </si>
  <si>
    <t>ORD10479</t>
  </si>
  <si>
    <t>ORD10389</t>
  </si>
  <si>
    <t>ORD10659</t>
  </si>
  <si>
    <t>ORD10582</t>
  </si>
  <si>
    <t>ORD10263</t>
  </si>
  <si>
    <t>ORD10147</t>
  </si>
  <si>
    <t>ORD10872</t>
  </si>
  <si>
    <t>ORD10559</t>
  </si>
  <si>
    <t>ORD10273</t>
  </si>
  <si>
    <t>ORD10038</t>
  </si>
  <si>
    <t>Ananya Sharma</t>
  </si>
  <si>
    <t>ORD10213</t>
  </si>
  <si>
    <t>ORD10002</t>
  </si>
  <si>
    <t>ORD10163</t>
  </si>
  <si>
    <t>ORD10010</t>
  </si>
  <si>
    <t>ORD10927</t>
  </si>
  <si>
    <t>Arjun Kumar</t>
  </si>
  <si>
    <t>ORD10764</t>
  </si>
  <si>
    <t>Rohan Joshi</t>
  </si>
  <si>
    <t>ORD10915</t>
  </si>
  <si>
    <t>ORD10166</t>
  </si>
  <si>
    <t>ORD10747</t>
  </si>
  <si>
    <t>ORD10117</t>
  </si>
  <si>
    <t>ORD10776</t>
  </si>
  <si>
    <t>ORD10438</t>
  </si>
  <si>
    <t>ORD10903</t>
  </si>
  <si>
    <t>ORD10964</t>
  </si>
  <si>
    <t>ORD10344</t>
  </si>
  <si>
    <t>ORD10173</t>
  </si>
  <si>
    <t>ORD10994</t>
  </si>
  <si>
    <t>Priya Joshi</t>
  </si>
  <si>
    <t>ORD10090</t>
  </si>
  <si>
    <t>ORD10471</t>
  </si>
  <si>
    <t>ORD10836</t>
  </si>
  <si>
    <t>ORD10922</t>
  </si>
  <si>
    <t>ORD10733</t>
  </si>
  <si>
    <t>ORD10954</t>
  </si>
  <si>
    <t>ORD10545</t>
  </si>
  <si>
    <t>ORD10295</t>
  </si>
  <si>
    <t>ORD10862</t>
  </si>
  <si>
    <t>ORD10294</t>
  </si>
  <si>
    <t>ORD10844</t>
  </si>
  <si>
    <t>ORD10502</t>
  </si>
  <si>
    <t>ORD10105</t>
  </si>
  <si>
    <t>ORD10769</t>
  </si>
  <si>
    <t>ORD10794</t>
  </si>
  <si>
    <t>Riya Mehta</t>
  </si>
  <si>
    <t>ORD10526</t>
  </si>
  <si>
    <t>ORD10451</t>
  </si>
  <si>
    <t>ORD10239</t>
  </si>
  <si>
    <t>ORD10364</t>
  </si>
  <si>
    <t>ORD10617</t>
  </si>
  <si>
    <t>ORD10768</t>
  </si>
  <si>
    <t>ORD10790</t>
  </si>
  <si>
    <t>ORD10749</t>
  </si>
  <si>
    <t>ORD10515</t>
  </si>
  <si>
    <t>ORD10568</t>
  </si>
  <si>
    <t>ORD10870</t>
  </si>
  <si>
    <t>Vikram Desai</t>
  </si>
  <si>
    <t>ORD10297</t>
  </si>
  <si>
    <t>ORD10900</t>
  </si>
  <si>
    <t>ORD10442</t>
  </si>
  <si>
    <t>Meera Shetty</t>
  </si>
  <si>
    <t>ORD10583</t>
  </si>
  <si>
    <t>ORD10996</t>
  </si>
  <si>
    <t>ORD10003</t>
  </si>
  <si>
    <t>ORD10766</t>
  </si>
  <si>
    <t>ORD10141</t>
  </si>
  <si>
    <t>ORD10202</t>
  </si>
  <si>
    <t>ORD10584</t>
  </si>
  <si>
    <t>Meera Patil</t>
  </si>
  <si>
    <t>ORD10088</t>
  </si>
  <si>
    <t>ORD10816</t>
  </si>
  <si>
    <t>ORD10179</t>
  </si>
  <si>
    <t>ORD10566</t>
  </si>
  <si>
    <t>ORD10552</t>
  </si>
  <si>
    <t>ORD10309</t>
  </si>
  <si>
    <t>ORD10455</t>
  </si>
  <si>
    <t>Aditya Nair</t>
  </si>
  <si>
    <t>ORD10203</t>
  </si>
  <si>
    <t>ORD10250</t>
  </si>
  <si>
    <t>ORD10412</t>
  </si>
  <si>
    <t>ORD10593</t>
  </si>
  <si>
    <t>ORD10611</t>
  </si>
  <si>
    <t>ORD10174</t>
  </si>
  <si>
    <t>ORD10601</t>
  </si>
  <si>
    <t>Kiran Kumar</t>
  </si>
  <si>
    <t>ORD10340</t>
  </si>
  <si>
    <t>ORD10472</t>
  </si>
  <si>
    <t>ORD10244</t>
  </si>
  <si>
    <t>ORD10458</t>
  </si>
  <si>
    <t>ORD10188</t>
  </si>
  <si>
    <t>ORD10125</t>
  </si>
  <si>
    <t>ORD10919</t>
  </si>
  <si>
    <t>ORD10269</t>
  </si>
  <si>
    <t>ORD10742</t>
  </si>
  <si>
    <t>ORD10905</t>
  </si>
  <si>
    <t>ORD10955</t>
  </si>
  <si>
    <t>ORD10894</t>
  </si>
  <si>
    <t>ORD10956</t>
  </si>
  <si>
    <t>ORD10464</t>
  </si>
  <si>
    <t>ORD10655</t>
  </si>
  <si>
    <t>ORD10719</t>
  </si>
  <si>
    <t>ORD10067</t>
  </si>
  <si>
    <t>ORD10136</t>
  </si>
  <si>
    <t>ORD10338</t>
  </si>
  <si>
    <t>ORD10208</t>
  </si>
  <si>
    <t>ORD10714</t>
  </si>
  <si>
    <t>ORD10518</t>
  </si>
  <si>
    <t>ORD10831</t>
  </si>
  <si>
    <t>ORD10052</t>
  </si>
  <si>
    <t>ORD10616</t>
  </si>
  <si>
    <t>ORD10519</t>
  </si>
  <si>
    <t>ORD10377</t>
  </si>
  <si>
    <t>ORD10303</t>
  </si>
  <si>
    <t>ORD10390</t>
  </si>
  <si>
    <t>ORD10500</t>
  </si>
  <si>
    <t>ORD10353</t>
  </si>
  <si>
    <t>ORD10543</t>
  </si>
  <si>
    <t>ORD10298</t>
  </si>
  <si>
    <t>ORD10948</t>
  </si>
  <si>
    <t>ORD10135</t>
  </si>
  <si>
    <t>ORD10623</t>
  </si>
  <si>
    <t>ORD10453</t>
  </si>
  <si>
    <t>ORD10944</t>
  </si>
  <si>
    <t>Priya Verma</t>
  </si>
  <si>
    <t>ORD10865</t>
  </si>
  <si>
    <t>Ananya Shetty</t>
  </si>
  <si>
    <t>ORD10034</t>
  </si>
  <si>
    <t>ORD10802</t>
  </si>
  <si>
    <t>ORD10738</t>
  </si>
  <si>
    <t>Aarav Iyer</t>
  </si>
  <si>
    <t>ORD10586</t>
  </si>
  <si>
    <t>ORD10558</t>
  </si>
  <si>
    <t>ORD10873</t>
  </si>
  <si>
    <t>ORD10682</t>
  </si>
  <si>
    <t>ORD10712</t>
  </si>
  <si>
    <t>ORD10809</t>
  </si>
  <si>
    <t>ORD10968</t>
  </si>
  <si>
    <t>ORD10509</t>
  </si>
  <si>
    <t>ORD10474</t>
  </si>
  <si>
    <t>ORD10216</t>
  </si>
  <si>
    <t>ORD10851</t>
  </si>
  <si>
    <t>Meera Nair</t>
  </si>
  <si>
    <t>ORD10498</t>
  </si>
  <si>
    <t>ORD10290</t>
  </si>
  <si>
    <t>ORD10144</t>
  </si>
  <si>
    <t>ORD10624</t>
  </si>
  <si>
    <t>ORD10986</t>
  </si>
  <si>
    <t>ORD10272</t>
  </si>
  <si>
    <t>ORD10893</t>
  </si>
  <si>
    <t>ORD10265</t>
  </si>
  <si>
    <t>ORD10667</t>
  </si>
  <si>
    <t>ORD10760</t>
  </si>
  <si>
    <t>ORD10723</t>
  </si>
  <si>
    <t>ORD10892</t>
  </si>
  <si>
    <t>ORD10820</t>
  </si>
  <si>
    <t>Kavya Verma</t>
  </si>
  <si>
    <t>ORD10818</t>
  </si>
  <si>
    <t>ORD10050</t>
  </si>
  <si>
    <t>ORD10071</t>
  </si>
  <si>
    <t>ORD10537</t>
  </si>
  <si>
    <t>ORD10499</t>
  </si>
  <si>
    <t>ORD10251</t>
  </si>
  <si>
    <t>ORD10132</t>
  </si>
  <si>
    <t>ORD10252</t>
  </si>
  <si>
    <t>ORD10075</t>
  </si>
  <si>
    <t>ORD10070</t>
  </si>
  <si>
    <t>ORD10924</t>
  </si>
  <si>
    <t>ORD10234</t>
  </si>
  <si>
    <t>ORD10358</t>
  </si>
  <si>
    <t>ORD10585</t>
  </si>
  <si>
    <t>ORD10529</t>
  </si>
  <si>
    <t>ORD10462</t>
  </si>
  <si>
    <t>ORD10286</t>
  </si>
  <si>
    <t>ORD10730</t>
  </si>
  <si>
    <t>ORD10734</t>
  </si>
  <si>
    <t>ORD10997</t>
  </si>
  <si>
    <t>ORD10990</t>
  </si>
  <si>
    <t>ORD10842</t>
  </si>
  <si>
    <t>ORD10415</t>
  </si>
  <si>
    <t>ORD10696</t>
  </si>
  <si>
    <t>ORD10322</t>
  </si>
  <si>
    <t>ORD10691</t>
  </si>
  <si>
    <t>ORD10306</t>
  </si>
  <si>
    <t>ORD10159</t>
  </si>
  <si>
    <t>ORD10695</t>
  </si>
  <si>
    <t>ORD10492</t>
  </si>
  <si>
    <t>ORD10889</t>
  </si>
  <si>
    <t>ORD10343</t>
  </si>
  <si>
    <t>ORD10761</t>
  </si>
  <si>
    <t>ORD10613</t>
  </si>
  <si>
    <t>ORD10958</t>
  </si>
  <si>
    <t>ORD10775</t>
  </si>
  <si>
    <t>ORD10131</t>
  </si>
  <si>
    <t>ORD10516</t>
  </si>
  <si>
    <t>ORD10987</t>
  </si>
  <si>
    <t>ORD10120</t>
  </si>
  <si>
    <t>ORD10278</t>
  </si>
  <si>
    <t>ORD10108</t>
  </si>
  <si>
    <t>ORD10019</t>
  </si>
  <si>
    <t>ORD10342</t>
  </si>
  <si>
    <t>ORD10782</t>
  </si>
  <si>
    <t>ORD10395</t>
  </si>
  <si>
    <t>ORD10073</t>
  </si>
  <si>
    <t>ORD10703</t>
  </si>
  <si>
    <t>ORD10565</t>
  </si>
  <si>
    <t>ORD10495</t>
  </si>
  <si>
    <t>ORD10773</t>
  </si>
  <si>
    <t>ORD10756</t>
  </si>
  <si>
    <t>ORD10288</t>
  </si>
  <si>
    <t>ORD10675</t>
  </si>
  <si>
    <t>Diya Rao</t>
  </si>
  <si>
    <t>ORD10931</t>
  </si>
  <si>
    <t>ORD10386</t>
  </si>
  <si>
    <t>Rohan Kulkarni</t>
  </si>
  <si>
    <t>ORD10652</t>
  </si>
  <si>
    <t>ORD10978</t>
  </si>
  <si>
    <t>ORD10226</t>
  </si>
  <si>
    <t>ORD10488</t>
  </si>
  <si>
    <t>ORD10336</t>
  </si>
  <si>
    <t>ORD10847</t>
  </si>
  <si>
    <t>ORD10796</t>
  </si>
  <si>
    <t>ORD10602</t>
  </si>
  <si>
    <t>ORD10569</t>
  </si>
  <si>
    <t>ORD10468</t>
  </si>
  <si>
    <t>ORD10651</t>
  </si>
  <si>
    <t>ORD10165</t>
  </si>
  <si>
    <t>Sanjay Kulkarni</t>
  </si>
  <si>
    <t>ORD10852</t>
  </si>
  <si>
    <t>ORD10304</t>
  </si>
  <si>
    <t>ORD10976</t>
  </si>
  <si>
    <t>ORD10676</t>
  </si>
  <si>
    <t>ORD10888</t>
  </si>
  <si>
    <t>ORD10201</t>
  </si>
  <si>
    <t>ORD10660</t>
  </si>
  <si>
    <t>ORD10708</t>
  </si>
  <si>
    <t>ORD10414</t>
  </si>
  <si>
    <t>ORD10407</t>
  </si>
  <si>
    <t>ORD10508</t>
  </si>
  <si>
    <t>ORD10231</t>
  </si>
  <si>
    <t>ORD10772</t>
  </si>
  <si>
    <t>ORD10939</t>
  </si>
  <si>
    <t>ORD10658</t>
  </si>
  <si>
    <t>ORD10884</t>
  </si>
  <si>
    <t>ORD10185</t>
  </si>
  <si>
    <t>ORD10739</t>
  </si>
  <si>
    <t>ORD10640</t>
  </si>
  <si>
    <t>ORD10551</t>
  </si>
  <si>
    <t>ORD10271</t>
  </si>
  <si>
    <t>ORD10419</t>
  </si>
  <si>
    <t>ORD10111</t>
  </si>
  <si>
    <t>ORD10009</t>
  </si>
  <si>
    <t>Varun Iyer</t>
  </si>
  <si>
    <t>ORD10267</t>
  </si>
  <si>
    <t>ORD10572</t>
  </si>
  <si>
    <t>ORD10483</t>
  </si>
  <si>
    <t>ORD10404</t>
  </si>
  <si>
    <t>ORD10877</t>
  </si>
  <si>
    <t>ORD10609</t>
  </si>
  <si>
    <t>ORD10824</t>
  </si>
  <si>
    <t>ORD10276</t>
  </si>
  <si>
    <t>ORD10494</t>
  </si>
  <si>
    <t>ORD10316</t>
  </si>
  <si>
    <t>ORD10684</t>
  </si>
  <si>
    <t>ORD10993</t>
  </si>
  <si>
    <t>ORD10162</t>
  </si>
  <si>
    <t>ORD10917</t>
  </si>
  <si>
    <t>ORD10418</t>
  </si>
  <si>
    <t>ORD10698</t>
  </si>
  <si>
    <t>ORD10908</t>
  </si>
  <si>
    <t>ORD10663</t>
  </si>
  <si>
    <t>ORD10195</t>
  </si>
  <si>
    <t>ORD10396</t>
  </si>
  <si>
    <t>ORD10183</t>
  </si>
  <si>
    <t>ORD10350</t>
  </si>
  <si>
    <t>ORD10878</t>
  </si>
  <si>
    <t>ORD10255</t>
  </si>
  <si>
    <t>ORD10959</t>
  </si>
  <si>
    <t>ORD10450</t>
  </si>
  <si>
    <t>ORD10042</t>
  </si>
  <si>
    <t>ORD10716</t>
  </si>
  <si>
    <t>ORD10426</t>
  </si>
  <si>
    <t>ORD10522</t>
  </si>
  <si>
    <t>ORD10673</t>
  </si>
  <si>
    <t>ORD10204</t>
  </si>
  <si>
    <t>ORD10923</t>
  </si>
  <si>
    <t>ORD10812</t>
  </si>
  <si>
    <t>ORD10564</t>
  </si>
  <si>
    <t>ORD10311</t>
  </si>
  <si>
    <t>ORD10026</t>
  </si>
  <si>
    <t>ORD10648</t>
  </si>
  <si>
    <t>ORD10022</t>
  </si>
  <si>
    <t>ORD10018</t>
  </si>
  <si>
    <t>ORD10535</t>
  </si>
  <si>
    <t>ORD10799</t>
  </si>
  <si>
    <t>ORD10491</t>
  </si>
  <si>
    <t>ORD10700</t>
  </si>
  <si>
    <t>ORD10425</t>
  </si>
  <si>
    <t>ORD10094</t>
  </si>
  <si>
    <t>ORD10074</t>
  </si>
  <si>
    <t>ORD10826</t>
  </si>
  <si>
    <t>ORD10013</t>
  </si>
  <si>
    <t>ORD10487</t>
  </si>
  <si>
    <t>ORD10401</t>
  </si>
  <si>
    <t>ORD10679</t>
  </si>
  <si>
    <t>ORD10589</t>
  </si>
  <si>
    <t>ORD10281</t>
  </si>
  <si>
    <t>ORD10886</t>
  </si>
  <si>
    <t>ORD10417</t>
  </si>
  <si>
    <t>ORD10762</t>
  </si>
  <si>
    <t>ORD10156</t>
  </si>
  <si>
    <t>Ananya Kumar</t>
  </si>
  <si>
    <t>ORD10381</t>
  </si>
  <si>
    <t>ORD10694</t>
  </si>
  <si>
    <t>ORD10030</t>
  </si>
  <si>
    <t>ORD10254</t>
  </si>
  <si>
    <t>ORD10044</t>
  </si>
  <si>
    <t>ORD10157</t>
  </si>
  <si>
    <t>ORD10452</t>
  </si>
  <si>
    <t>ORD10409</t>
  </si>
  <si>
    <t>ORD10232</t>
  </si>
  <si>
    <t>ORD10444</t>
  </si>
  <si>
    <t>ORD10218</t>
  </si>
  <si>
    <t>Sneha Singh</t>
  </si>
  <si>
    <t>ORD10122</t>
  </si>
  <si>
    <t>ORD10017</t>
  </si>
  <si>
    <t>ORD10291</t>
  </si>
  <si>
    <t>ORD10957</t>
  </si>
  <si>
    <t>ORD10314</t>
  </si>
  <si>
    <t>ORD10184</t>
  </si>
  <si>
    <t>ORD10702</t>
  </si>
  <si>
    <t>ORD10636</t>
  </si>
  <si>
    <t>ORD10735</t>
  </si>
  <si>
    <t>ORD10128</t>
  </si>
  <si>
    <t>ORD10212</t>
  </si>
  <si>
    <t>ORD10856</t>
  </si>
  <si>
    <t>ORD10793</t>
  </si>
  <si>
    <t>ORD10798</t>
  </si>
  <si>
    <t>Nikhil Mehta</t>
  </si>
  <si>
    <t>ORD10779</t>
  </si>
  <si>
    <t>ORD10200</t>
  </si>
  <si>
    <t>ORD10069</t>
  </si>
  <si>
    <t>ORD10848</t>
  </si>
  <si>
    <t>ORD10619</t>
  </si>
  <si>
    <t>ORD10688</t>
  </si>
  <si>
    <t>ORD10155</t>
  </si>
  <si>
    <t>ORD10408</t>
  </si>
  <si>
    <t>ORD10725</t>
  </si>
  <si>
    <t>ORD10337</t>
  </si>
  <si>
    <t>ORD10690</t>
  </si>
  <si>
    <t>ORD10335</t>
  </si>
  <si>
    <t>ORD10689</t>
  </si>
  <si>
    <t>ORD10647</t>
  </si>
  <si>
    <t>ORD10246</t>
  </si>
  <si>
    <t>ORD10717</t>
  </si>
  <si>
    <t>ORD10995</t>
  </si>
  <si>
    <t>ORD10268</t>
  </si>
  <si>
    <t>ORD10380</t>
  </si>
  <si>
    <t>Pooja Sharma</t>
  </si>
  <si>
    <t>ORD10119</t>
  </si>
  <si>
    <t>ORD10726</t>
  </si>
  <si>
    <t>ORD10210</t>
  </si>
  <si>
    <t>ORD10460</t>
  </si>
  <si>
    <t>ORD10704</t>
  </si>
  <si>
    <t>ORD10632</t>
  </si>
  <si>
    <t>ORD10110</t>
  </si>
  <si>
    <t>ORD10399</t>
  </si>
  <si>
    <t>ORD10598</t>
  </si>
  <si>
    <t>ORD10124</t>
  </si>
  <si>
    <t>ORD10678</t>
  </si>
  <si>
    <t>ORD10921</t>
  </si>
  <si>
    <t>ORD10771</t>
  </si>
  <si>
    <t>ORD10835</t>
  </si>
  <si>
    <t>ORD10191</t>
  </si>
  <si>
    <t>Kiran Joshi</t>
  </si>
  <si>
    <t>ORD10277</t>
  </si>
  <si>
    <t>ORD10011</t>
  </si>
  <si>
    <t>ORD10605</t>
  </si>
  <si>
    <t>ORD10748</t>
  </si>
  <si>
    <t>ORD10650</t>
  </si>
  <si>
    <t>ORD10360</t>
  </si>
  <si>
    <t>ORD10466</t>
  </si>
  <si>
    <t>ORD10803</t>
  </si>
  <si>
    <t>ORD10654</t>
  </si>
  <si>
    <t>ORD10840</t>
  </si>
  <si>
    <t>ORD10477</t>
  </si>
  <si>
    <t>ORD10863</t>
  </si>
  <si>
    <t>ORD10936</t>
  </si>
  <si>
    <t>ORD10685</t>
  </si>
  <si>
    <t>ORD10367</t>
  </si>
  <si>
    <t>ORD10248</t>
  </si>
  <si>
    <t>ORD10258</t>
  </si>
  <si>
    <t>ORD10999</t>
  </si>
  <si>
    <t>ORD10693</t>
  </si>
  <si>
    <t>ORD10359</t>
  </si>
  <si>
    <t>ORD10763</t>
  </si>
  <si>
    <t>ORD10911</t>
  </si>
  <si>
    <t>ORD10952</t>
  </si>
  <si>
    <t>ORD10992</t>
  </si>
  <si>
    <t>ORD10857</t>
  </si>
  <si>
    <t>ORD10934</t>
  </si>
  <si>
    <t>ORD10068</t>
  </si>
  <si>
    <t>ORD10940</t>
  </si>
  <si>
    <t>ORD10061</t>
  </si>
  <si>
    <t>ORD10300</t>
  </si>
  <si>
    <t>ORD10160</t>
  </si>
  <si>
    <t>ORD10006</t>
  </si>
  <si>
    <t>ORD10296</t>
  </si>
  <si>
    <t>ORD10126</t>
  </si>
  <si>
    <t>ORD10334</t>
  </si>
  <si>
    <t>ORD10916</t>
  </si>
  <si>
    <t>Row Labels</t>
  </si>
  <si>
    <t>Grand Total</t>
  </si>
  <si>
    <t>Jan</t>
  </si>
  <si>
    <t>Feb</t>
  </si>
  <si>
    <t>Mar</t>
  </si>
  <si>
    <t>Apr</t>
  </si>
  <si>
    <t>May</t>
  </si>
  <si>
    <t>Jun</t>
  </si>
  <si>
    <t>Jul</t>
  </si>
  <si>
    <t>Aug</t>
  </si>
  <si>
    <t>Sep</t>
  </si>
  <si>
    <t>Oct</t>
  </si>
  <si>
    <t>Nov</t>
  </si>
  <si>
    <t>Dec</t>
  </si>
  <si>
    <t>Count of Order ID</t>
  </si>
  <si>
    <t>Sum of Sales</t>
  </si>
  <si>
    <t>Column Labels</t>
  </si>
  <si>
    <t>Sum of Discount</t>
  </si>
  <si>
    <t>Orders vs sales</t>
  </si>
  <si>
    <t>Top 5 state</t>
  </si>
  <si>
    <t>Payment Mode  Category</t>
  </si>
  <si>
    <t>Total Sales customer segment</t>
  </si>
  <si>
    <t>Sum of Profit</t>
  </si>
  <si>
    <t>Total Sales</t>
  </si>
  <si>
    <t>Total Profit</t>
  </si>
  <si>
    <t>Total Orders</t>
  </si>
  <si>
    <t>Total Quantity</t>
  </si>
  <si>
    <t xml:space="preserve">        State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</si>
</sst>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6" formatCode="&quot;₹&quot;\ #,##0.00"/>
  </numFmts>
  <fonts count="8" x14ac:knownFonts="1">
    <font>
      <sz val="11"/>
      <color theme="1"/>
      <name val="Calibri"/>
      <family val="2"/>
      <scheme val="minor"/>
    </font>
    <font>
      <b/>
      <sz val="11"/>
      <name val="Calibri"/>
    </font>
    <font>
      <sz val="12"/>
      <color theme="1"/>
      <name val="Calibri"/>
      <family val="2"/>
      <scheme val="minor"/>
    </font>
    <font>
      <sz val="14"/>
      <color theme="1"/>
      <name val="Calibri"/>
      <family val="2"/>
      <scheme val="minor"/>
    </font>
    <font>
      <sz val="16"/>
      <color theme="1"/>
      <name val="Calibri"/>
      <family val="2"/>
      <scheme val="minor"/>
    </font>
    <font>
      <sz val="11"/>
      <color theme="8"/>
      <name val="Calibri"/>
      <family val="2"/>
      <scheme val="minor"/>
    </font>
    <font>
      <sz val="16"/>
      <color theme="8"/>
      <name val="Calibri"/>
      <family val="2"/>
      <scheme val="minor"/>
    </font>
    <font>
      <sz val="11"/>
      <color theme="1"/>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5" tint="0.59999389629810485"/>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style="thin">
        <color auto="1"/>
      </left>
      <right style="thin">
        <color auto="1"/>
      </right>
      <top/>
      <bottom style="thin">
        <color auto="1"/>
      </bottom>
      <diagonal/>
    </border>
  </borders>
  <cellStyleXfs count="2">
    <xf numFmtId="0" fontId="0" fillId="0" borderId="0"/>
    <xf numFmtId="9" fontId="7" fillId="0" borderId="0" applyFont="0" applyFill="0" applyBorder="0" applyAlignment="0" applyProtection="0"/>
  </cellStyleXfs>
  <cellXfs count="22">
    <xf numFmtId="0" fontId="0" fillId="0" borderId="0" xfId="0"/>
    <xf numFmtId="164" fontId="0" fillId="0" borderId="0" xfId="0" applyNumberFormat="1"/>
    <xf numFmtId="4" fontId="0" fillId="0" borderId="0" xfId="0" applyNumberFormat="1"/>
    <xf numFmtId="0" fontId="0" fillId="0" borderId="0" xfId="0" pivotButton="1"/>
    <xf numFmtId="0" fontId="0" fillId="0" borderId="0" xfId="0" applyAlignment="1">
      <alignment horizontal="left"/>
    </xf>
    <xf numFmtId="0" fontId="0" fillId="2" borderId="0" xfId="0" applyFill="1"/>
    <xf numFmtId="0" fontId="1" fillId="0" borderId="3" xfId="0" applyFont="1" applyBorder="1" applyAlignment="1">
      <alignment horizontal="center" vertical="top"/>
    </xf>
    <xf numFmtId="0" fontId="5" fillId="2" borderId="2" xfId="0" applyFont="1" applyFill="1" applyBorder="1"/>
    <xf numFmtId="0" fontId="6" fillId="2" borderId="1" xfId="0" applyFont="1" applyFill="1" applyBorder="1" applyAlignment="1">
      <alignment horizontal="center"/>
    </xf>
    <xf numFmtId="0" fontId="3" fillId="3" borderId="0" xfId="0" applyFont="1" applyFill="1" applyAlignment="1">
      <alignment horizontal="center"/>
    </xf>
    <xf numFmtId="0" fontId="0" fillId="3" borderId="0" xfId="0" applyFill="1" applyAlignment="1">
      <alignment horizontal="center"/>
    </xf>
    <xf numFmtId="0" fontId="4" fillId="3" borderId="0" xfId="0" applyFont="1" applyFill="1" applyAlignment="1">
      <alignment horizontal="center"/>
    </xf>
    <xf numFmtId="0" fontId="2" fillId="3" borderId="0" xfId="0" applyFont="1" applyFill="1" applyAlignment="1">
      <alignment horizontal="center"/>
    </xf>
    <xf numFmtId="0" fontId="0" fillId="2" borderId="0" xfId="0" applyFill="1" applyAlignment="1">
      <alignment horizontal="center"/>
    </xf>
    <xf numFmtId="0" fontId="0" fillId="2" borderId="0" xfId="0" applyFill="1" applyAlignment="1">
      <alignment horizontal="right"/>
    </xf>
    <xf numFmtId="0" fontId="0" fillId="4" borderId="0" xfId="0" applyFill="1" applyAlignment="1">
      <alignment horizontal="center"/>
    </xf>
    <xf numFmtId="0" fontId="0" fillId="0" borderId="0" xfId="0" applyNumberFormat="1"/>
    <xf numFmtId="166" fontId="0" fillId="4" borderId="0" xfId="1" applyNumberFormat="1" applyFont="1" applyFill="1" applyAlignment="1">
      <alignment horizontal="center"/>
    </xf>
    <xf numFmtId="166" fontId="0" fillId="4" borderId="0" xfId="0" applyNumberFormat="1" applyFill="1" applyAlignment="1">
      <alignment horizontal="center"/>
    </xf>
    <xf numFmtId="0" fontId="0" fillId="4" borderId="0" xfId="0" applyNumberFormat="1" applyFill="1" applyAlignment="1">
      <alignment horizontal="center"/>
    </xf>
    <xf numFmtId="0" fontId="3" fillId="3" borderId="0" xfId="0" applyFont="1" applyFill="1" applyAlignment="1"/>
    <xf numFmtId="0" fontId="0" fillId="3" borderId="0" xfId="0" applyFill="1" applyAlignment="1"/>
  </cellXfs>
  <cellStyles count="2">
    <cellStyle name="Normal" xfId="0" builtinId="0"/>
    <cellStyle name="Percent" xfId="1" builtinId="5"/>
  </cellStyles>
  <dxfs count="7">
    <dxf>
      <numFmt numFmtId="4" formatCode="#,##0.00"/>
    </dxf>
    <dxf>
      <numFmt numFmtId="4" formatCode="#,##0.00"/>
    </dxf>
    <dxf>
      <numFmt numFmtId="4" formatCode="#,##0.00"/>
    </dxf>
    <dxf>
      <numFmt numFmtId="164"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[Retail_Sales_Dashboard.xlsx]pivote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a:t>
            </a:r>
            <a:r>
              <a:rPr lang="en-IN" baseline="0"/>
              <a:t> vs sales</a:t>
            </a:r>
            <a:endParaRPr lang="en-IN"/>
          </a:p>
        </c:rich>
      </c:tx>
      <c:layout>
        <c:manualLayout>
          <c:xMode val="edge"/>
          <c:yMode val="edge"/>
          <c:x val="9.0208617064020086E-2"/>
          <c:y val="1.90204387102214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 table'!$B$3</c:f>
              <c:strCache>
                <c:ptCount val="1"/>
                <c:pt idx="0">
                  <c:v>Sum of Sales</c:v>
                </c:pt>
              </c:strCache>
            </c:strRef>
          </c:tx>
          <c:spPr>
            <a:solidFill>
              <a:schemeClr val="accent1"/>
            </a:solidFill>
            <a:ln>
              <a:noFill/>
            </a:ln>
            <a:effectLst/>
          </c:spPr>
          <c:invertIfNegative val="0"/>
          <c:cat>
            <c:strRef>
              <c:f>'pivote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 table'!$B$4:$B$16</c:f>
              <c:numCache>
                <c:formatCode>#,##0.00</c:formatCode>
                <c:ptCount val="12"/>
                <c:pt idx="0">
                  <c:v>2457672.5</c:v>
                </c:pt>
                <c:pt idx="1">
                  <c:v>2053990</c:v>
                </c:pt>
                <c:pt idx="2">
                  <c:v>3858527.5</c:v>
                </c:pt>
                <c:pt idx="3">
                  <c:v>3656450</c:v>
                </c:pt>
                <c:pt idx="4">
                  <c:v>3283600</c:v>
                </c:pt>
                <c:pt idx="5">
                  <c:v>2302180</c:v>
                </c:pt>
                <c:pt idx="6">
                  <c:v>2418467.5</c:v>
                </c:pt>
                <c:pt idx="7">
                  <c:v>3946550</c:v>
                </c:pt>
                <c:pt idx="8">
                  <c:v>3116112.5</c:v>
                </c:pt>
                <c:pt idx="9">
                  <c:v>2887077.5</c:v>
                </c:pt>
                <c:pt idx="10">
                  <c:v>2722897.5</c:v>
                </c:pt>
                <c:pt idx="11">
                  <c:v>2972965</c:v>
                </c:pt>
              </c:numCache>
            </c:numRef>
          </c:val>
          <c:extLst>
            <c:ext xmlns:c16="http://schemas.microsoft.com/office/drawing/2014/chart" uri="{C3380CC4-5D6E-409C-BE32-E72D297353CC}">
              <c16:uniqueId val="{00000000-5705-4CCB-B460-759049E6463C}"/>
            </c:ext>
          </c:extLst>
        </c:ser>
        <c:dLbls>
          <c:showLegendKey val="0"/>
          <c:showVal val="0"/>
          <c:showCatName val="0"/>
          <c:showSerName val="0"/>
          <c:showPercent val="0"/>
          <c:showBubbleSize val="0"/>
        </c:dLbls>
        <c:gapWidth val="219"/>
        <c:overlap val="-27"/>
        <c:axId val="1456466735"/>
        <c:axId val="1539825455"/>
      </c:barChart>
      <c:lineChart>
        <c:grouping val="standard"/>
        <c:varyColors val="0"/>
        <c:ser>
          <c:idx val="1"/>
          <c:order val="1"/>
          <c:tx>
            <c:strRef>
              <c:f>'pivote table'!$C$3</c:f>
              <c:strCache>
                <c:ptCount val="1"/>
                <c:pt idx="0">
                  <c:v>Count of Order ID</c:v>
                </c:pt>
              </c:strCache>
            </c:strRef>
          </c:tx>
          <c:spPr>
            <a:ln w="28575" cap="rnd">
              <a:solidFill>
                <a:schemeClr val="accent2"/>
              </a:solidFill>
              <a:round/>
            </a:ln>
            <a:effectLst/>
          </c:spPr>
          <c:marker>
            <c:symbol val="none"/>
          </c:marker>
          <c:cat>
            <c:strRef>
              <c:f>'pivote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 table'!$C$4:$C$16</c:f>
              <c:numCache>
                <c:formatCode>General</c:formatCode>
                <c:ptCount val="12"/>
                <c:pt idx="0">
                  <c:v>80</c:v>
                </c:pt>
                <c:pt idx="1">
                  <c:v>69</c:v>
                </c:pt>
                <c:pt idx="2">
                  <c:v>93</c:v>
                </c:pt>
                <c:pt idx="3">
                  <c:v>96</c:v>
                </c:pt>
                <c:pt idx="4">
                  <c:v>102</c:v>
                </c:pt>
                <c:pt idx="5">
                  <c:v>67</c:v>
                </c:pt>
                <c:pt idx="6">
                  <c:v>89</c:v>
                </c:pt>
                <c:pt idx="7">
                  <c:v>87</c:v>
                </c:pt>
                <c:pt idx="8">
                  <c:v>86</c:v>
                </c:pt>
                <c:pt idx="9">
                  <c:v>82</c:v>
                </c:pt>
                <c:pt idx="10">
                  <c:v>72</c:v>
                </c:pt>
                <c:pt idx="11">
                  <c:v>77</c:v>
                </c:pt>
              </c:numCache>
            </c:numRef>
          </c:val>
          <c:smooth val="0"/>
          <c:extLst>
            <c:ext xmlns:c16="http://schemas.microsoft.com/office/drawing/2014/chart" uri="{C3380CC4-5D6E-409C-BE32-E72D297353CC}">
              <c16:uniqueId val="{00000001-5705-4CCB-B460-759049E6463C}"/>
            </c:ext>
          </c:extLst>
        </c:ser>
        <c:dLbls>
          <c:showLegendKey val="0"/>
          <c:showVal val="0"/>
          <c:showCatName val="0"/>
          <c:showSerName val="0"/>
          <c:showPercent val="0"/>
          <c:showBubbleSize val="0"/>
        </c:dLbls>
        <c:marker val="1"/>
        <c:smooth val="0"/>
        <c:axId val="1581140415"/>
        <c:axId val="1539825935"/>
      </c:lineChart>
      <c:catAx>
        <c:axId val="1456466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825455"/>
        <c:crosses val="autoZero"/>
        <c:auto val="1"/>
        <c:lblAlgn val="ctr"/>
        <c:lblOffset val="100"/>
        <c:noMultiLvlLbl val="0"/>
      </c:catAx>
      <c:valAx>
        <c:axId val="1539825455"/>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466735"/>
        <c:crosses val="autoZero"/>
        <c:crossBetween val="between"/>
      </c:valAx>
      <c:valAx>
        <c:axId val="153982593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140415"/>
        <c:crosses val="max"/>
        <c:crossBetween val="between"/>
      </c:valAx>
      <c:catAx>
        <c:axId val="1581140415"/>
        <c:scaling>
          <c:orientation val="minMax"/>
        </c:scaling>
        <c:delete val="1"/>
        <c:axPos val="b"/>
        <c:numFmt formatCode="General" sourceLinked="1"/>
        <c:majorTickMark val="out"/>
        <c:minorTickMark val="none"/>
        <c:tickLblPos val="nextTo"/>
        <c:crossAx val="1539825935"/>
        <c:crosses val="autoZero"/>
        <c:auto val="1"/>
        <c:lblAlgn val="ctr"/>
        <c:lblOffset val="100"/>
        <c:noMultiLvlLbl val="0"/>
      </c:catAx>
      <c:spPr>
        <a:noFill/>
        <a:ln>
          <a:noFill/>
        </a:ln>
        <a:effectLst/>
      </c:spPr>
    </c:plotArea>
    <c:legend>
      <c:legendPos val="r"/>
      <c:layout>
        <c:manualLayout>
          <c:xMode val="edge"/>
          <c:yMode val="edge"/>
          <c:x val="0.44918937816669535"/>
          <c:y val="1.9304826480023338E-2"/>
          <c:w val="0.53414395516663793"/>
          <c:h val="0.11921405657626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[Retail_Sales_Dashboard.xlsx]pivote table!PivotTable4</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aseline="0"/>
              <a:t>Sum of Discount</a:t>
            </a:r>
            <a:endParaRPr lang="en-US"/>
          </a:p>
        </c:rich>
      </c:tx>
      <c:layout>
        <c:manualLayout>
          <c:xMode val="edge"/>
          <c:yMode val="edge"/>
          <c:x val="0.35053787290673172"/>
          <c:y val="2.46062992125984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7"/>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8"/>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9"/>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0"/>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1"/>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2"/>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3"/>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4"/>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5"/>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6"/>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7"/>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8"/>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9"/>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0"/>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1"/>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9"/>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9"/>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9"/>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9"/>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6"/>
        <c:spPr>
          <a:gradFill rotWithShape="1">
            <a:gsLst>
              <a:gs pos="0">
                <a:schemeClr val="accent1">
                  <a:shade val="40000"/>
                  <a:shade val="51000"/>
                  <a:satMod val="130000"/>
                </a:schemeClr>
              </a:gs>
              <a:gs pos="80000">
                <a:schemeClr val="accent1">
                  <a:shade val="40000"/>
                  <a:shade val="93000"/>
                  <a:satMod val="130000"/>
                </a:schemeClr>
              </a:gs>
              <a:gs pos="100000">
                <a:schemeClr val="accent1">
                  <a:shade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7"/>
        <c:spPr>
          <a:gradFill rotWithShape="1">
            <a:gsLst>
              <a:gs pos="0">
                <a:schemeClr val="accent1">
                  <a:shade val="51000"/>
                  <a:shade val="51000"/>
                  <a:satMod val="130000"/>
                </a:schemeClr>
              </a:gs>
              <a:gs pos="80000">
                <a:schemeClr val="accent1">
                  <a:shade val="51000"/>
                  <a:shade val="93000"/>
                  <a:satMod val="130000"/>
                </a:schemeClr>
              </a:gs>
              <a:gs pos="100000">
                <a:schemeClr val="accent1">
                  <a:shade val="51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8"/>
        <c:spPr>
          <a:gradFill rotWithShape="1">
            <a:gsLst>
              <a:gs pos="0">
                <a:schemeClr val="accent1">
                  <a:shade val="62000"/>
                  <a:shade val="51000"/>
                  <a:satMod val="130000"/>
                </a:schemeClr>
              </a:gs>
              <a:gs pos="80000">
                <a:schemeClr val="accent1">
                  <a:shade val="62000"/>
                  <a:shade val="93000"/>
                  <a:satMod val="130000"/>
                </a:schemeClr>
              </a:gs>
              <a:gs pos="100000">
                <a:schemeClr val="accent1">
                  <a:shade val="6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9"/>
        <c:spPr>
          <a:gradFill rotWithShape="1">
            <a:gsLst>
              <a:gs pos="0">
                <a:schemeClr val="accent1">
                  <a:shade val="73000"/>
                  <a:shade val="51000"/>
                  <a:satMod val="130000"/>
                </a:schemeClr>
              </a:gs>
              <a:gs pos="80000">
                <a:schemeClr val="accent1">
                  <a:shade val="73000"/>
                  <a:shade val="93000"/>
                  <a:satMod val="130000"/>
                </a:schemeClr>
              </a:gs>
              <a:gs pos="100000">
                <a:schemeClr val="accent1">
                  <a:shade val="7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0"/>
        <c:spPr>
          <a:gradFill rotWithShape="1">
            <a:gsLst>
              <a:gs pos="0">
                <a:schemeClr val="accent1">
                  <a:shade val="83000"/>
                  <a:shade val="51000"/>
                  <a:satMod val="130000"/>
                </a:schemeClr>
              </a:gs>
              <a:gs pos="80000">
                <a:schemeClr val="accent1">
                  <a:shade val="83000"/>
                  <a:shade val="93000"/>
                  <a:satMod val="130000"/>
                </a:schemeClr>
              </a:gs>
              <a:gs pos="100000">
                <a:schemeClr val="accent1">
                  <a:shade val="8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1"/>
        <c:spPr>
          <a:gradFill rotWithShape="1">
            <a:gsLst>
              <a:gs pos="0">
                <a:schemeClr val="accent1">
                  <a:shade val="94000"/>
                  <a:shade val="51000"/>
                  <a:satMod val="130000"/>
                </a:schemeClr>
              </a:gs>
              <a:gs pos="80000">
                <a:schemeClr val="accent1">
                  <a:shade val="94000"/>
                  <a:shade val="93000"/>
                  <a:satMod val="130000"/>
                </a:schemeClr>
              </a:gs>
              <a:gs pos="100000">
                <a:schemeClr val="accent1">
                  <a:shade val="9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2"/>
        <c:spPr>
          <a:gradFill rotWithShape="1">
            <a:gsLst>
              <a:gs pos="0">
                <a:schemeClr val="accent1">
                  <a:tint val="95000"/>
                  <a:shade val="51000"/>
                  <a:satMod val="130000"/>
                </a:schemeClr>
              </a:gs>
              <a:gs pos="80000">
                <a:schemeClr val="accent1">
                  <a:tint val="95000"/>
                  <a:shade val="93000"/>
                  <a:satMod val="130000"/>
                </a:schemeClr>
              </a:gs>
              <a:gs pos="100000">
                <a:schemeClr val="accent1">
                  <a:tint val="9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3"/>
        <c:spPr>
          <a:gradFill rotWithShape="1">
            <a:gsLst>
              <a:gs pos="0">
                <a:schemeClr val="accent1">
                  <a:tint val="84000"/>
                  <a:shade val="51000"/>
                  <a:satMod val="130000"/>
                </a:schemeClr>
              </a:gs>
              <a:gs pos="80000">
                <a:schemeClr val="accent1">
                  <a:tint val="84000"/>
                  <a:shade val="93000"/>
                  <a:satMod val="130000"/>
                </a:schemeClr>
              </a:gs>
              <a:gs pos="100000">
                <a:schemeClr val="accent1">
                  <a:tint val="8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4"/>
        <c:spPr>
          <a:gradFill rotWithShape="1">
            <a:gsLst>
              <a:gs pos="0">
                <a:schemeClr val="accent1">
                  <a:tint val="74000"/>
                  <a:shade val="51000"/>
                  <a:satMod val="130000"/>
                </a:schemeClr>
              </a:gs>
              <a:gs pos="80000">
                <a:schemeClr val="accent1">
                  <a:tint val="74000"/>
                  <a:shade val="93000"/>
                  <a:satMod val="130000"/>
                </a:schemeClr>
              </a:gs>
              <a:gs pos="100000">
                <a:schemeClr val="accent1">
                  <a:tint val="7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5"/>
        <c:spPr>
          <a:gradFill rotWithShape="1">
            <a:gsLst>
              <a:gs pos="0">
                <a:schemeClr val="accent1">
                  <a:tint val="63000"/>
                  <a:shade val="51000"/>
                  <a:satMod val="130000"/>
                </a:schemeClr>
              </a:gs>
              <a:gs pos="80000">
                <a:schemeClr val="accent1">
                  <a:tint val="63000"/>
                  <a:shade val="93000"/>
                  <a:satMod val="130000"/>
                </a:schemeClr>
              </a:gs>
              <a:gs pos="100000">
                <a:schemeClr val="accent1">
                  <a:tint val="6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6"/>
        <c:spPr>
          <a:gradFill rotWithShape="1">
            <a:gsLst>
              <a:gs pos="0">
                <a:schemeClr val="accent1">
                  <a:tint val="52000"/>
                  <a:shade val="51000"/>
                  <a:satMod val="130000"/>
                </a:schemeClr>
              </a:gs>
              <a:gs pos="80000">
                <a:schemeClr val="accent1">
                  <a:tint val="52000"/>
                  <a:shade val="93000"/>
                  <a:satMod val="130000"/>
                </a:schemeClr>
              </a:gs>
              <a:gs pos="100000">
                <a:schemeClr val="accent1">
                  <a:tint val="5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7"/>
        <c:spPr>
          <a:gradFill rotWithShape="1">
            <a:gsLst>
              <a:gs pos="0">
                <a:schemeClr val="accent1">
                  <a:tint val="41000"/>
                  <a:shade val="51000"/>
                  <a:satMod val="130000"/>
                </a:schemeClr>
              </a:gs>
              <a:gs pos="80000">
                <a:schemeClr val="accent1">
                  <a:tint val="41000"/>
                  <a:shade val="93000"/>
                  <a:satMod val="130000"/>
                </a:schemeClr>
              </a:gs>
              <a:gs pos="100000">
                <a:schemeClr val="accent1">
                  <a:tint val="41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79"/>
        <c:spPr>
          <a:gradFill rotWithShape="1">
            <a:gsLst>
              <a:gs pos="0">
                <a:schemeClr val="accent1">
                  <a:shade val="53000"/>
                  <a:shade val="51000"/>
                  <a:satMod val="130000"/>
                </a:schemeClr>
              </a:gs>
              <a:gs pos="80000">
                <a:schemeClr val="accent1">
                  <a:shade val="53000"/>
                  <a:shade val="93000"/>
                  <a:satMod val="130000"/>
                </a:schemeClr>
              </a:gs>
              <a:gs pos="100000">
                <a:schemeClr val="accent1">
                  <a:shade val="5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0"/>
        <c:spPr>
          <a:gradFill rotWithShape="1">
            <a:gsLst>
              <a:gs pos="0">
                <a:schemeClr val="accent1">
                  <a:shade val="76000"/>
                  <a:shade val="51000"/>
                  <a:satMod val="130000"/>
                </a:schemeClr>
              </a:gs>
              <a:gs pos="80000">
                <a:schemeClr val="accent1">
                  <a:shade val="76000"/>
                  <a:shade val="93000"/>
                  <a:satMod val="130000"/>
                </a:schemeClr>
              </a:gs>
              <a:gs pos="100000">
                <a:schemeClr val="accent1">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2"/>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3"/>
        <c:spPr>
          <a:gradFill rotWithShape="1">
            <a:gsLst>
              <a:gs pos="0">
                <a:schemeClr val="accent1">
                  <a:tint val="54000"/>
                  <a:shade val="51000"/>
                  <a:satMod val="130000"/>
                </a:schemeClr>
              </a:gs>
              <a:gs pos="80000">
                <a:schemeClr val="accent1">
                  <a:tint val="54000"/>
                  <a:shade val="93000"/>
                  <a:satMod val="130000"/>
                </a:schemeClr>
              </a:gs>
              <a:gs pos="100000">
                <a:schemeClr val="accent1">
                  <a:tint val="5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'pivote table'!$F$3</c:f>
              <c:strCache>
                <c:ptCount val="1"/>
                <c:pt idx="0">
                  <c:v>Total</c:v>
                </c:pt>
              </c:strCache>
            </c:strRef>
          </c:tx>
          <c:dPt>
            <c:idx val="0"/>
            <c:bubble3D val="0"/>
            <c:spPr>
              <a:gradFill rotWithShape="1">
                <a:gsLst>
                  <a:gs pos="0">
                    <a:schemeClr val="accent1">
                      <a:shade val="40000"/>
                      <a:shade val="51000"/>
                      <a:satMod val="130000"/>
                    </a:schemeClr>
                  </a:gs>
                  <a:gs pos="80000">
                    <a:schemeClr val="accent1">
                      <a:shade val="40000"/>
                      <a:shade val="93000"/>
                      <a:satMod val="130000"/>
                    </a:schemeClr>
                  </a:gs>
                  <a:gs pos="100000">
                    <a:schemeClr val="accent1">
                      <a:shade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BCA3-4078-A236-40E1B0BDCD69}"/>
              </c:ext>
            </c:extLst>
          </c:dPt>
          <c:dPt>
            <c:idx val="1"/>
            <c:bubble3D val="0"/>
            <c:spPr>
              <a:gradFill rotWithShape="1">
                <a:gsLst>
                  <a:gs pos="0">
                    <a:schemeClr val="accent1">
                      <a:shade val="51000"/>
                      <a:shade val="51000"/>
                      <a:satMod val="130000"/>
                    </a:schemeClr>
                  </a:gs>
                  <a:gs pos="80000">
                    <a:schemeClr val="accent1">
                      <a:shade val="51000"/>
                      <a:shade val="93000"/>
                      <a:satMod val="130000"/>
                    </a:schemeClr>
                  </a:gs>
                  <a:gs pos="100000">
                    <a:schemeClr val="accent1">
                      <a:shade val="51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CA3-4078-A236-40E1B0BDCD69}"/>
              </c:ext>
            </c:extLst>
          </c:dPt>
          <c:dPt>
            <c:idx val="2"/>
            <c:bubble3D val="0"/>
            <c:spPr>
              <a:gradFill rotWithShape="1">
                <a:gsLst>
                  <a:gs pos="0">
                    <a:schemeClr val="accent1">
                      <a:shade val="62000"/>
                      <a:shade val="51000"/>
                      <a:satMod val="130000"/>
                    </a:schemeClr>
                  </a:gs>
                  <a:gs pos="80000">
                    <a:schemeClr val="accent1">
                      <a:shade val="62000"/>
                      <a:shade val="93000"/>
                      <a:satMod val="130000"/>
                    </a:schemeClr>
                  </a:gs>
                  <a:gs pos="100000">
                    <a:schemeClr val="accent1">
                      <a:shade val="6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BCA3-4078-A236-40E1B0BDCD69}"/>
              </c:ext>
            </c:extLst>
          </c:dPt>
          <c:dPt>
            <c:idx val="3"/>
            <c:bubble3D val="0"/>
            <c:spPr>
              <a:gradFill rotWithShape="1">
                <a:gsLst>
                  <a:gs pos="0">
                    <a:schemeClr val="accent1">
                      <a:shade val="73000"/>
                      <a:shade val="51000"/>
                      <a:satMod val="130000"/>
                    </a:schemeClr>
                  </a:gs>
                  <a:gs pos="80000">
                    <a:schemeClr val="accent1">
                      <a:shade val="73000"/>
                      <a:shade val="93000"/>
                      <a:satMod val="130000"/>
                    </a:schemeClr>
                  </a:gs>
                  <a:gs pos="100000">
                    <a:schemeClr val="accent1">
                      <a:shade val="7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BCA3-4078-A236-40E1B0BDCD69}"/>
              </c:ext>
            </c:extLst>
          </c:dPt>
          <c:dPt>
            <c:idx val="4"/>
            <c:bubble3D val="0"/>
            <c:spPr>
              <a:gradFill rotWithShape="1">
                <a:gsLst>
                  <a:gs pos="0">
                    <a:schemeClr val="accent1">
                      <a:shade val="83000"/>
                      <a:shade val="51000"/>
                      <a:satMod val="130000"/>
                    </a:schemeClr>
                  </a:gs>
                  <a:gs pos="80000">
                    <a:schemeClr val="accent1">
                      <a:shade val="83000"/>
                      <a:shade val="93000"/>
                      <a:satMod val="130000"/>
                    </a:schemeClr>
                  </a:gs>
                  <a:gs pos="100000">
                    <a:schemeClr val="accent1">
                      <a:shade val="8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BCA3-4078-A236-40E1B0BDCD69}"/>
              </c:ext>
            </c:extLst>
          </c:dPt>
          <c:dPt>
            <c:idx val="5"/>
            <c:bubble3D val="0"/>
            <c:spPr>
              <a:gradFill rotWithShape="1">
                <a:gsLst>
                  <a:gs pos="0">
                    <a:schemeClr val="accent1">
                      <a:shade val="94000"/>
                      <a:shade val="51000"/>
                      <a:satMod val="130000"/>
                    </a:schemeClr>
                  </a:gs>
                  <a:gs pos="80000">
                    <a:schemeClr val="accent1">
                      <a:shade val="94000"/>
                      <a:shade val="93000"/>
                      <a:satMod val="130000"/>
                    </a:schemeClr>
                  </a:gs>
                  <a:gs pos="100000">
                    <a:schemeClr val="accent1">
                      <a:shade val="9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BCA3-4078-A236-40E1B0BDCD69}"/>
              </c:ext>
            </c:extLst>
          </c:dPt>
          <c:dPt>
            <c:idx val="6"/>
            <c:bubble3D val="0"/>
            <c:spPr>
              <a:gradFill rotWithShape="1">
                <a:gsLst>
                  <a:gs pos="0">
                    <a:schemeClr val="accent1">
                      <a:tint val="95000"/>
                      <a:shade val="51000"/>
                      <a:satMod val="130000"/>
                    </a:schemeClr>
                  </a:gs>
                  <a:gs pos="80000">
                    <a:schemeClr val="accent1">
                      <a:tint val="95000"/>
                      <a:shade val="93000"/>
                      <a:satMod val="130000"/>
                    </a:schemeClr>
                  </a:gs>
                  <a:gs pos="100000">
                    <a:schemeClr val="accent1">
                      <a:tint val="9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BCA3-4078-A236-40E1B0BDCD69}"/>
              </c:ext>
            </c:extLst>
          </c:dPt>
          <c:dPt>
            <c:idx val="7"/>
            <c:bubble3D val="0"/>
            <c:spPr>
              <a:gradFill rotWithShape="1">
                <a:gsLst>
                  <a:gs pos="0">
                    <a:schemeClr val="accent1">
                      <a:tint val="84000"/>
                      <a:shade val="51000"/>
                      <a:satMod val="130000"/>
                    </a:schemeClr>
                  </a:gs>
                  <a:gs pos="80000">
                    <a:schemeClr val="accent1">
                      <a:tint val="84000"/>
                      <a:shade val="93000"/>
                      <a:satMod val="130000"/>
                    </a:schemeClr>
                  </a:gs>
                  <a:gs pos="100000">
                    <a:schemeClr val="accent1">
                      <a:tint val="8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BCA3-4078-A236-40E1B0BDCD69}"/>
              </c:ext>
            </c:extLst>
          </c:dPt>
          <c:dPt>
            <c:idx val="8"/>
            <c:bubble3D val="0"/>
            <c:spPr>
              <a:gradFill rotWithShape="1">
                <a:gsLst>
                  <a:gs pos="0">
                    <a:schemeClr val="accent1">
                      <a:tint val="74000"/>
                      <a:shade val="51000"/>
                      <a:satMod val="130000"/>
                    </a:schemeClr>
                  </a:gs>
                  <a:gs pos="80000">
                    <a:schemeClr val="accent1">
                      <a:tint val="74000"/>
                      <a:shade val="93000"/>
                      <a:satMod val="130000"/>
                    </a:schemeClr>
                  </a:gs>
                  <a:gs pos="100000">
                    <a:schemeClr val="accent1">
                      <a:tint val="7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BCA3-4078-A236-40E1B0BDCD69}"/>
              </c:ext>
            </c:extLst>
          </c:dPt>
          <c:dPt>
            <c:idx val="9"/>
            <c:bubble3D val="0"/>
            <c:spPr>
              <a:gradFill rotWithShape="1">
                <a:gsLst>
                  <a:gs pos="0">
                    <a:schemeClr val="accent1">
                      <a:tint val="63000"/>
                      <a:shade val="51000"/>
                      <a:satMod val="130000"/>
                    </a:schemeClr>
                  </a:gs>
                  <a:gs pos="80000">
                    <a:schemeClr val="accent1">
                      <a:tint val="63000"/>
                      <a:shade val="93000"/>
                      <a:satMod val="130000"/>
                    </a:schemeClr>
                  </a:gs>
                  <a:gs pos="100000">
                    <a:schemeClr val="accent1">
                      <a:tint val="6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BCA3-4078-A236-40E1B0BDCD69}"/>
              </c:ext>
            </c:extLst>
          </c:dPt>
          <c:dPt>
            <c:idx val="10"/>
            <c:bubble3D val="0"/>
            <c:spPr>
              <a:gradFill rotWithShape="1">
                <a:gsLst>
                  <a:gs pos="0">
                    <a:schemeClr val="accent1">
                      <a:tint val="52000"/>
                      <a:shade val="51000"/>
                      <a:satMod val="130000"/>
                    </a:schemeClr>
                  </a:gs>
                  <a:gs pos="80000">
                    <a:schemeClr val="accent1">
                      <a:tint val="52000"/>
                      <a:shade val="93000"/>
                      <a:satMod val="130000"/>
                    </a:schemeClr>
                  </a:gs>
                  <a:gs pos="100000">
                    <a:schemeClr val="accent1">
                      <a:tint val="5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FB90-4037-92FB-B0E3CAC54557}"/>
              </c:ext>
            </c:extLst>
          </c:dPt>
          <c:dPt>
            <c:idx val="11"/>
            <c:bubble3D val="0"/>
            <c:spPr>
              <a:gradFill rotWithShape="1">
                <a:gsLst>
                  <a:gs pos="0">
                    <a:schemeClr val="accent1">
                      <a:tint val="41000"/>
                      <a:shade val="51000"/>
                      <a:satMod val="130000"/>
                    </a:schemeClr>
                  </a:gs>
                  <a:gs pos="80000">
                    <a:schemeClr val="accent1">
                      <a:tint val="41000"/>
                      <a:shade val="93000"/>
                      <a:satMod val="130000"/>
                    </a:schemeClr>
                  </a:gs>
                  <a:gs pos="100000">
                    <a:schemeClr val="accent1">
                      <a:tint val="41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FB90-4037-92FB-B0E3CAC5455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 table'!$E$4:$E$16</c:f>
              <c:strCache>
                <c:ptCount val="12"/>
                <c:pt idx="0">
                  <c:v>Delhi</c:v>
                </c:pt>
                <c:pt idx="1">
                  <c:v>Gujarat</c:v>
                </c:pt>
                <c:pt idx="2">
                  <c:v>Karnataka</c:v>
                </c:pt>
                <c:pt idx="3">
                  <c:v>Kerala</c:v>
                </c:pt>
                <c:pt idx="4">
                  <c:v>Madhya Pradesh</c:v>
                </c:pt>
                <c:pt idx="5">
                  <c:v>Maharashtra</c:v>
                </c:pt>
                <c:pt idx="6">
                  <c:v>Odisha</c:v>
                </c:pt>
                <c:pt idx="7">
                  <c:v>Rajasthan</c:v>
                </c:pt>
                <c:pt idx="8">
                  <c:v>Tamil Nadu</c:v>
                </c:pt>
                <c:pt idx="9">
                  <c:v>Telangana</c:v>
                </c:pt>
                <c:pt idx="10">
                  <c:v>Uttar Pradesh</c:v>
                </c:pt>
                <c:pt idx="11">
                  <c:v>West Bengal</c:v>
                </c:pt>
              </c:strCache>
            </c:strRef>
          </c:cat>
          <c:val>
            <c:numRef>
              <c:f>'pivote table'!$F$4:$F$16</c:f>
              <c:numCache>
                <c:formatCode>#,##0.00</c:formatCode>
                <c:ptCount val="12"/>
                <c:pt idx="0">
                  <c:v>4.9499999999999993</c:v>
                </c:pt>
                <c:pt idx="1">
                  <c:v>4.4999999999999982</c:v>
                </c:pt>
                <c:pt idx="2">
                  <c:v>21.300000000000026</c:v>
                </c:pt>
                <c:pt idx="3">
                  <c:v>5.4499999999999975</c:v>
                </c:pt>
                <c:pt idx="4">
                  <c:v>3.7999999999999989</c:v>
                </c:pt>
                <c:pt idx="5">
                  <c:v>9.2999999999999936</c:v>
                </c:pt>
                <c:pt idx="6">
                  <c:v>6.9999999999999964</c:v>
                </c:pt>
                <c:pt idx="7">
                  <c:v>4.8999999999999995</c:v>
                </c:pt>
                <c:pt idx="8">
                  <c:v>5.5499999999999963</c:v>
                </c:pt>
                <c:pt idx="9">
                  <c:v>4.3499999999999996</c:v>
                </c:pt>
                <c:pt idx="10">
                  <c:v>4.1499999999999986</c:v>
                </c:pt>
                <c:pt idx="11">
                  <c:v>6.2499999999999964</c:v>
                </c:pt>
              </c:numCache>
            </c:numRef>
          </c:val>
          <c:extLst>
            <c:ext xmlns:c16="http://schemas.microsoft.com/office/drawing/2014/chart" uri="{C3380CC4-5D6E-409C-BE32-E72D297353CC}">
              <c16:uniqueId val="{00000014-BCA3-4078-A236-40E1B0BDCD69}"/>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7788867940803177"/>
          <c:y val="0.25676827017716536"/>
          <c:w val="0.16598831836161326"/>
          <c:h val="0.549320250984251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[Retail_Sales_Dashboard.xlsx]pivote table!PivotTable6</c:name>
    <c:fmtId val="5"/>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pivotFmt>
      <c:pivotFmt>
        <c:idx val="17"/>
        <c:spPr>
          <a:solidFill>
            <a:schemeClr val="accent1"/>
          </a:solidFill>
          <a:ln>
            <a:noFill/>
          </a:ln>
          <a:effectLst/>
          <a:sp3d/>
        </c:spPr>
        <c:marker>
          <c:symbol val="none"/>
        </c:marker>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a:sp3d/>
        </c:spPr>
        <c:marker>
          <c:symbol val="none"/>
        </c:marker>
      </c:pivotFmt>
      <c:pivotFmt>
        <c:idx val="3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'pivote table'!$L$3:$L$4</c:f>
              <c:strCache>
                <c:ptCount val="1"/>
                <c:pt idx="0">
                  <c:v>Clothing</c:v>
                </c:pt>
              </c:strCache>
            </c:strRef>
          </c:tx>
          <c:spPr>
            <a:solidFill>
              <a:schemeClr val="accent1"/>
            </a:solidFill>
            <a:ln>
              <a:noFill/>
            </a:ln>
            <a:effectLst/>
            <a:sp3d/>
          </c:spPr>
          <c:invertIfNegative val="0"/>
          <c:cat>
            <c:strRef>
              <c:f>'pivote table'!$K$5:$K$10</c:f>
              <c:strCache>
                <c:ptCount val="5"/>
                <c:pt idx="0">
                  <c:v>Cash</c:v>
                </c:pt>
                <c:pt idx="1">
                  <c:v>Credit Card</c:v>
                </c:pt>
                <c:pt idx="2">
                  <c:v>Debit Card</c:v>
                </c:pt>
                <c:pt idx="3">
                  <c:v>Net Banking</c:v>
                </c:pt>
                <c:pt idx="4">
                  <c:v>UPI</c:v>
                </c:pt>
              </c:strCache>
            </c:strRef>
          </c:cat>
          <c:val>
            <c:numRef>
              <c:f>'pivote table'!$L$5:$L$10</c:f>
              <c:numCache>
                <c:formatCode>General</c:formatCode>
                <c:ptCount val="5"/>
                <c:pt idx="0">
                  <c:v>25</c:v>
                </c:pt>
                <c:pt idx="1">
                  <c:v>30</c:v>
                </c:pt>
                <c:pt idx="2">
                  <c:v>30</c:v>
                </c:pt>
                <c:pt idx="3">
                  <c:v>26</c:v>
                </c:pt>
                <c:pt idx="4">
                  <c:v>33</c:v>
                </c:pt>
              </c:numCache>
            </c:numRef>
          </c:val>
          <c:extLst>
            <c:ext xmlns:c16="http://schemas.microsoft.com/office/drawing/2014/chart" uri="{C3380CC4-5D6E-409C-BE32-E72D297353CC}">
              <c16:uniqueId val="{00000000-67B2-4253-B463-92551F1D4D58}"/>
            </c:ext>
          </c:extLst>
        </c:ser>
        <c:ser>
          <c:idx val="1"/>
          <c:order val="1"/>
          <c:tx>
            <c:strRef>
              <c:f>'pivote table'!$M$3:$M$4</c:f>
              <c:strCache>
                <c:ptCount val="1"/>
                <c:pt idx="0">
                  <c:v>Electronics</c:v>
                </c:pt>
              </c:strCache>
            </c:strRef>
          </c:tx>
          <c:spPr>
            <a:solidFill>
              <a:schemeClr val="accent2"/>
            </a:solidFill>
            <a:ln>
              <a:noFill/>
            </a:ln>
            <a:effectLst/>
            <a:sp3d/>
          </c:spPr>
          <c:invertIfNegative val="0"/>
          <c:cat>
            <c:strRef>
              <c:f>'pivote table'!$K$5:$K$10</c:f>
              <c:strCache>
                <c:ptCount val="5"/>
                <c:pt idx="0">
                  <c:v>Cash</c:v>
                </c:pt>
                <c:pt idx="1">
                  <c:v>Credit Card</c:v>
                </c:pt>
                <c:pt idx="2">
                  <c:v>Debit Card</c:v>
                </c:pt>
                <c:pt idx="3">
                  <c:v>Net Banking</c:v>
                </c:pt>
                <c:pt idx="4">
                  <c:v>UPI</c:v>
                </c:pt>
              </c:strCache>
            </c:strRef>
          </c:cat>
          <c:val>
            <c:numRef>
              <c:f>'pivote table'!$M$5:$M$10</c:f>
              <c:numCache>
                <c:formatCode>General</c:formatCode>
                <c:ptCount val="5"/>
                <c:pt idx="0">
                  <c:v>68</c:v>
                </c:pt>
                <c:pt idx="1">
                  <c:v>41</c:v>
                </c:pt>
                <c:pt idx="2">
                  <c:v>47</c:v>
                </c:pt>
                <c:pt idx="3">
                  <c:v>68</c:v>
                </c:pt>
                <c:pt idx="4">
                  <c:v>54</c:v>
                </c:pt>
              </c:numCache>
            </c:numRef>
          </c:val>
          <c:extLst>
            <c:ext xmlns:c16="http://schemas.microsoft.com/office/drawing/2014/chart" uri="{C3380CC4-5D6E-409C-BE32-E72D297353CC}">
              <c16:uniqueId val="{00000002-4947-4D39-8C9C-410DE46E3FA1}"/>
            </c:ext>
          </c:extLst>
        </c:ser>
        <c:ser>
          <c:idx val="2"/>
          <c:order val="2"/>
          <c:tx>
            <c:strRef>
              <c:f>'pivote table'!$N$3:$N$4</c:f>
              <c:strCache>
                <c:ptCount val="1"/>
                <c:pt idx="0">
                  <c:v>Furniture</c:v>
                </c:pt>
              </c:strCache>
            </c:strRef>
          </c:tx>
          <c:spPr>
            <a:solidFill>
              <a:schemeClr val="accent3"/>
            </a:solidFill>
            <a:ln>
              <a:noFill/>
            </a:ln>
            <a:effectLst/>
            <a:sp3d/>
          </c:spPr>
          <c:invertIfNegative val="0"/>
          <c:cat>
            <c:strRef>
              <c:f>'pivote table'!$K$5:$K$10</c:f>
              <c:strCache>
                <c:ptCount val="5"/>
                <c:pt idx="0">
                  <c:v>Cash</c:v>
                </c:pt>
                <c:pt idx="1">
                  <c:v>Credit Card</c:v>
                </c:pt>
                <c:pt idx="2">
                  <c:v>Debit Card</c:v>
                </c:pt>
                <c:pt idx="3">
                  <c:v>Net Banking</c:v>
                </c:pt>
                <c:pt idx="4">
                  <c:v>UPI</c:v>
                </c:pt>
              </c:strCache>
            </c:strRef>
          </c:cat>
          <c:val>
            <c:numRef>
              <c:f>'pivote table'!$N$5:$N$10</c:f>
              <c:numCache>
                <c:formatCode>General</c:formatCode>
                <c:ptCount val="5"/>
                <c:pt idx="0">
                  <c:v>28</c:v>
                </c:pt>
                <c:pt idx="1">
                  <c:v>44</c:v>
                </c:pt>
                <c:pt idx="2">
                  <c:v>43</c:v>
                </c:pt>
                <c:pt idx="3">
                  <c:v>35</c:v>
                </c:pt>
                <c:pt idx="4">
                  <c:v>32</c:v>
                </c:pt>
              </c:numCache>
            </c:numRef>
          </c:val>
          <c:extLst>
            <c:ext xmlns:c16="http://schemas.microsoft.com/office/drawing/2014/chart" uri="{C3380CC4-5D6E-409C-BE32-E72D297353CC}">
              <c16:uniqueId val="{00000009-4947-4D39-8C9C-410DE46E3FA1}"/>
            </c:ext>
          </c:extLst>
        </c:ser>
        <c:ser>
          <c:idx val="3"/>
          <c:order val="3"/>
          <c:tx>
            <c:strRef>
              <c:f>'pivote table'!$O$3:$O$4</c:f>
              <c:strCache>
                <c:ptCount val="1"/>
                <c:pt idx="0">
                  <c:v>Home Appliances</c:v>
                </c:pt>
              </c:strCache>
            </c:strRef>
          </c:tx>
          <c:spPr>
            <a:solidFill>
              <a:schemeClr val="accent4"/>
            </a:solidFill>
            <a:ln>
              <a:noFill/>
            </a:ln>
            <a:effectLst/>
            <a:sp3d/>
          </c:spPr>
          <c:invertIfNegative val="0"/>
          <c:cat>
            <c:strRef>
              <c:f>'pivote table'!$K$5:$K$10</c:f>
              <c:strCache>
                <c:ptCount val="5"/>
                <c:pt idx="0">
                  <c:v>Cash</c:v>
                </c:pt>
                <c:pt idx="1">
                  <c:v>Credit Card</c:v>
                </c:pt>
                <c:pt idx="2">
                  <c:v>Debit Card</c:v>
                </c:pt>
                <c:pt idx="3">
                  <c:v>Net Banking</c:v>
                </c:pt>
                <c:pt idx="4">
                  <c:v>UPI</c:v>
                </c:pt>
              </c:strCache>
            </c:strRef>
          </c:cat>
          <c:val>
            <c:numRef>
              <c:f>'pivote table'!$O$5:$O$10</c:f>
              <c:numCache>
                <c:formatCode>General</c:formatCode>
                <c:ptCount val="5"/>
                <c:pt idx="0">
                  <c:v>38</c:v>
                </c:pt>
                <c:pt idx="1">
                  <c:v>30</c:v>
                </c:pt>
                <c:pt idx="2">
                  <c:v>37</c:v>
                </c:pt>
                <c:pt idx="3">
                  <c:v>46</c:v>
                </c:pt>
                <c:pt idx="4">
                  <c:v>38</c:v>
                </c:pt>
              </c:numCache>
            </c:numRef>
          </c:val>
          <c:extLst>
            <c:ext xmlns:c16="http://schemas.microsoft.com/office/drawing/2014/chart" uri="{C3380CC4-5D6E-409C-BE32-E72D297353CC}">
              <c16:uniqueId val="{0000000A-4947-4D39-8C9C-410DE46E3FA1}"/>
            </c:ext>
          </c:extLst>
        </c:ser>
        <c:ser>
          <c:idx val="4"/>
          <c:order val="4"/>
          <c:tx>
            <c:strRef>
              <c:f>'pivote table'!$P$3:$P$4</c:f>
              <c:strCache>
                <c:ptCount val="1"/>
                <c:pt idx="0">
                  <c:v>Office Supplies</c:v>
                </c:pt>
              </c:strCache>
            </c:strRef>
          </c:tx>
          <c:spPr>
            <a:solidFill>
              <a:schemeClr val="accent5"/>
            </a:solidFill>
            <a:ln>
              <a:noFill/>
            </a:ln>
            <a:effectLst/>
            <a:sp3d/>
          </c:spPr>
          <c:invertIfNegative val="0"/>
          <c:cat>
            <c:strRef>
              <c:f>'pivote table'!$K$5:$K$10</c:f>
              <c:strCache>
                <c:ptCount val="5"/>
                <c:pt idx="0">
                  <c:v>Cash</c:v>
                </c:pt>
                <c:pt idx="1">
                  <c:v>Credit Card</c:v>
                </c:pt>
                <c:pt idx="2">
                  <c:v>Debit Card</c:v>
                </c:pt>
                <c:pt idx="3">
                  <c:v>Net Banking</c:v>
                </c:pt>
                <c:pt idx="4">
                  <c:v>UPI</c:v>
                </c:pt>
              </c:strCache>
            </c:strRef>
          </c:cat>
          <c:val>
            <c:numRef>
              <c:f>'pivote table'!$P$5:$P$10</c:f>
              <c:numCache>
                <c:formatCode>General</c:formatCode>
                <c:ptCount val="5"/>
                <c:pt idx="0">
                  <c:v>49</c:v>
                </c:pt>
                <c:pt idx="1">
                  <c:v>28</c:v>
                </c:pt>
                <c:pt idx="2">
                  <c:v>42</c:v>
                </c:pt>
                <c:pt idx="3">
                  <c:v>39</c:v>
                </c:pt>
                <c:pt idx="4">
                  <c:v>49</c:v>
                </c:pt>
              </c:numCache>
            </c:numRef>
          </c:val>
          <c:extLst>
            <c:ext xmlns:c16="http://schemas.microsoft.com/office/drawing/2014/chart" uri="{C3380CC4-5D6E-409C-BE32-E72D297353CC}">
              <c16:uniqueId val="{0000000B-4947-4D39-8C9C-410DE46E3FA1}"/>
            </c:ext>
          </c:extLst>
        </c:ser>
        <c:dLbls>
          <c:showLegendKey val="0"/>
          <c:showVal val="0"/>
          <c:showCatName val="0"/>
          <c:showSerName val="0"/>
          <c:showPercent val="0"/>
          <c:showBubbleSize val="0"/>
        </c:dLbls>
        <c:gapWidth val="150"/>
        <c:shape val="box"/>
        <c:axId val="1648346815"/>
        <c:axId val="1539805295"/>
        <c:axId val="1538249807"/>
      </c:bar3DChart>
      <c:catAx>
        <c:axId val="16483468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805295"/>
        <c:crosses val="autoZero"/>
        <c:auto val="1"/>
        <c:lblAlgn val="ctr"/>
        <c:lblOffset val="100"/>
        <c:noMultiLvlLbl val="0"/>
      </c:catAx>
      <c:valAx>
        <c:axId val="1539805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346815"/>
        <c:crosses val="autoZero"/>
        <c:crossBetween val="between"/>
      </c:valAx>
      <c:serAx>
        <c:axId val="1538249807"/>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805295"/>
        <c:crosses val="autoZero"/>
      </c:serAx>
      <c:spPr>
        <a:noFill/>
        <a:ln>
          <a:noFill/>
        </a:ln>
        <a:effectLst/>
      </c:spPr>
    </c:plotArea>
    <c:legend>
      <c:legendPos val="r"/>
      <c:layout>
        <c:manualLayout>
          <c:xMode val="edge"/>
          <c:yMode val="edge"/>
          <c:x val="0.66819093733972912"/>
          <c:y val="0.22549320166946346"/>
          <c:w val="0.33180912626885495"/>
          <c:h val="0.774506798330536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[Retail_Sales_Dashboard.xlsx]pivote 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'pivote table'!$C$20</c:f>
              <c:strCache>
                <c:ptCount val="1"/>
                <c:pt idx="0">
                  <c:v>Total</c:v>
                </c:pt>
              </c:strCache>
            </c:strRef>
          </c:tx>
          <c:spPr>
            <a:solidFill>
              <a:schemeClr val="accent1"/>
            </a:solidFill>
            <a:ln>
              <a:noFill/>
            </a:ln>
            <a:effectLst/>
            <a:sp3d/>
          </c:spPr>
          <c:invertIfNegative val="0"/>
          <c:cat>
            <c:strRef>
              <c:f>'pivote table'!$B$21:$B$24</c:f>
              <c:strCache>
                <c:ptCount val="3"/>
                <c:pt idx="0">
                  <c:v>Consumer</c:v>
                </c:pt>
                <c:pt idx="1">
                  <c:v>Corporate</c:v>
                </c:pt>
                <c:pt idx="2">
                  <c:v>Small Business</c:v>
                </c:pt>
              </c:strCache>
            </c:strRef>
          </c:cat>
          <c:val>
            <c:numRef>
              <c:f>'pivote table'!$C$21:$C$24</c:f>
              <c:numCache>
                <c:formatCode>#,##0.00</c:formatCode>
                <c:ptCount val="3"/>
                <c:pt idx="0">
                  <c:v>13395297.5</c:v>
                </c:pt>
                <c:pt idx="1">
                  <c:v>11750910</c:v>
                </c:pt>
                <c:pt idx="2">
                  <c:v>10530282.5</c:v>
                </c:pt>
              </c:numCache>
            </c:numRef>
          </c:val>
          <c:extLst>
            <c:ext xmlns:c16="http://schemas.microsoft.com/office/drawing/2014/chart" uri="{C3380CC4-5D6E-409C-BE32-E72D297353CC}">
              <c16:uniqueId val="{00000000-948C-44EA-9078-F70FC06CBB67}"/>
            </c:ext>
          </c:extLst>
        </c:ser>
        <c:dLbls>
          <c:showLegendKey val="0"/>
          <c:showVal val="0"/>
          <c:showCatName val="0"/>
          <c:showSerName val="0"/>
          <c:showPercent val="0"/>
          <c:showBubbleSize val="0"/>
        </c:dLbls>
        <c:gapWidth val="150"/>
        <c:shape val="box"/>
        <c:axId val="1589942799"/>
        <c:axId val="1361170959"/>
        <c:axId val="0"/>
      </c:bar3DChart>
      <c:catAx>
        <c:axId val="15899427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170959"/>
        <c:crosses val="autoZero"/>
        <c:auto val="1"/>
        <c:lblAlgn val="ctr"/>
        <c:lblOffset val="100"/>
        <c:noMultiLvlLbl val="0"/>
      </c:catAx>
      <c:valAx>
        <c:axId val="13611709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942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[Retail_Sales_Dashboard.xlsx]pivote table!PivotTable5</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13670166229221"/>
          <c:y val="0.37800488480606592"/>
          <c:w val="0.67901137357830266"/>
          <c:h val="0.3514902303878682"/>
        </c:manualLayout>
      </c:layout>
      <c:barChart>
        <c:barDir val="col"/>
        <c:grouping val="stacked"/>
        <c:varyColors val="0"/>
        <c:ser>
          <c:idx val="0"/>
          <c:order val="0"/>
          <c:tx>
            <c:strRef>
              <c:f>'pivote table'!$I$3</c:f>
              <c:strCache>
                <c:ptCount val="1"/>
                <c:pt idx="0">
                  <c:v>Total</c:v>
                </c:pt>
              </c:strCache>
            </c:strRef>
          </c:tx>
          <c:spPr>
            <a:solidFill>
              <a:schemeClr val="accent1"/>
            </a:solidFill>
            <a:ln>
              <a:noFill/>
            </a:ln>
            <a:effectLst/>
          </c:spPr>
          <c:invertIfNegative val="0"/>
          <c:cat>
            <c:strRef>
              <c:f>'pivote table'!$H$4:$H$15</c:f>
              <c:strCache>
                <c:ptCount val="12"/>
                <c:pt idx="0">
                  <c:v>Delhi</c:v>
                </c:pt>
                <c:pt idx="1">
                  <c:v>Gujarat</c:v>
                </c:pt>
                <c:pt idx="2">
                  <c:v>Karnataka</c:v>
                </c:pt>
                <c:pt idx="3">
                  <c:v>Kerala</c:v>
                </c:pt>
                <c:pt idx="4">
                  <c:v>Madhya Pradesh</c:v>
                </c:pt>
                <c:pt idx="5">
                  <c:v>Maharashtra</c:v>
                </c:pt>
                <c:pt idx="6">
                  <c:v>Odisha</c:v>
                </c:pt>
                <c:pt idx="7">
                  <c:v>Rajasthan</c:v>
                </c:pt>
                <c:pt idx="8">
                  <c:v>Tamil Nadu</c:v>
                </c:pt>
                <c:pt idx="9">
                  <c:v>Telangana</c:v>
                </c:pt>
                <c:pt idx="10">
                  <c:v>Uttar Pradesh</c:v>
                </c:pt>
                <c:pt idx="11">
                  <c:v>West Bengal</c:v>
                </c:pt>
              </c:strCache>
            </c:strRef>
          </c:cat>
          <c:val>
            <c:numRef>
              <c:f>'pivote table'!$I$4:$I$15</c:f>
              <c:numCache>
                <c:formatCode>#,##0.00</c:formatCode>
                <c:ptCount val="12"/>
                <c:pt idx="0">
                  <c:v>336775.02999999997</c:v>
                </c:pt>
                <c:pt idx="1">
                  <c:v>295586.12</c:v>
                </c:pt>
                <c:pt idx="2">
                  <c:v>1642871.5200000009</c:v>
                </c:pt>
                <c:pt idx="3">
                  <c:v>330623.40999999992</c:v>
                </c:pt>
                <c:pt idx="4">
                  <c:v>290643.82000000007</c:v>
                </c:pt>
                <c:pt idx="5">
                  <c:v>799811.45999999985</c:v>
                </c:pt>
                <c:pt idx="6">
                  <c:v>405904.68</c:v>
                </c:pt>
                <c:pt idx="7">
                  <c:v>725214.77</c:v>
                </c:pt>
                <c:pt idx="8">
                  <c:v>411900.72999999981</c:v>
                </c:pt>
                <c:pt idx="9">
                  <c:v>331859.78000000009</c:v>
                </c:pt>
                <c:pt idx="10">
                  <c:v>393580.5</c:v>
                </c:pt>
                <c:pt idx="11">
                  <c:v>311053.79999999976</c:v>
                </c:pt>
              </c:numCache>
            </c:numRef>
          </c:val>
          <c:extLst>
            <c:ext xmlns:c16="http://schemas.microsoft.com/office/drawing/2014/chart" uri="{C3380CC4-5D6E-409C-BE32-E72D297353CC}">
              <c16:uniqueId val="{00000000-2521-410A-B166-525528C4B5BB}"/>
            </c:ext>
          </c:extLst>
        </c:ser>
        <c:dLbls>
          <c:showLegendKey val="0"/>
          <c:showVal val="0"/>
          <c:showCatName val="0"/>
          <c:showSerName val="0"/>
          <c:showPercent val="0"/>
          <c:showBubbleSize val="0"/>
        </c:dLbls>
        <c:gapWidth val="150"/>
        <c:overlap val="100"/>
        <c:axId val="2017231680"/>
        <c:axId val="1882287280"/>
      </c:barChart>
      <c:catAx>
        <c:axId val="20172316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287280"/>
        <c:crosses val="autoZero"/>
        <c:auto val="1"/>
        <c:lblAlgn val="ctr"/>
        <c:lblOffset val="100"/>
        <c:noMultiLvlLbl val="0"/>
      </c:catAx>
      <c:valAx>
        <c:axId val="18822872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231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38100</xdr:rowOff>
    </xdr:from>
    <xdr:to>
      <xdr:col>7</xdr:col>
      <xdr:colOff>3520440</xdr:colOff>
      <xdr:row>18</xdr:row>
      <xdr:rowOff>106680</xdr:rowOff>
    </xdr:to>
    <xdr:graphicFrame macro="">
      <xdr:nvGraphicFramePr>
        <xdr:cNvPr id="2" name="Chart 1">
          <a:extLst>
            <a:ext uri="{FF2B5EF4-FFF2-40B4-BE49-F238E27FC236}">
              <a16:creationId xmlns:a16="http://schemas.microsoft.com/office/drawing/2014/main" id="{468BE97D-76BA-445E-8263-05AF183596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60960</xdr:colOff>
      <xdr:row>7</xdr:row>
      <xdr:rowOff>167640</xdr:rowOff>
    </xdr:from>
    <xdr:to>
      <xdr:col>16</xdr:col>
      <xdr:colOff>259080</xdr:colOff>
      <xdr:row>18</xdr:row>
      <xdr:rowOff>106680</xdr:rowOff>
    </xdr:to>
    <xdr:graphicFrame macro="">
      <xdr:nvGraphicFramePr>
        <xdr:cNvPr id="4" name="Chart 3">
          <a:extLst>
            <a:ext uri="{FF2B5EF4-FFF2-40B4-BE49-F238E27FC236}">
              <a16:creationId xmlns:a16="http://schemas.microsoft.com/office/drawing/2014/main" id="{F9E12257-01E8-4146-9524-F0E991D942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3695700</xdr:colOff>
      <xdr:row>18</xdr:row>
      <xdr:rowOff>160020</xdr:rowOff>
    </xdr:from>
    <xdr:to>
      <xdr:col>10</xdr:col>
      <xdr:colOff>1417320</xdr:colOff>
      <xdr:row>29</xdr:row>
      <xdr:rowOff>7620</xdr:rowOff>
    </xdr:to>
    <xdr:graphicFrame macro="">
      <xdr:nvGraphicFramePr>
        <xdr:cNvPr id="6" name="Chart 5">
          <a:extLst>
            <a:ext uri="{FF2B5EF4-FFF2-40B4-BE49-F238E27FC236}">
              <a16:creationId xmlns:a16="http://schemas.microsoft.com/office/drawing/2014/main" id="{72205B78-C174-4077-99B9-711EC47BFE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3200400</xdr:colOff>
      <xdr:row>4</xdr:row>
      <xdr:rowOff>68581</xdr:rowOff>
    </xdr:from>
    <xdr:to>
      <xdr:col>9</xdr:col>
      <xdr:colOff>601980</xdr:colOff>
      <xdr:row>7</xdr:row>
      <xdr:rowOff>114300</xdr:rowOff>
    </xdr:to>
    <mc:AlternateContent xmlns:mc="http://schemas.openxmlformats.org/markup-compatibility/2006" xmlns:a14="http://schemas.microsoft.com/office/drawing/2010/main">
      <mc:Choice Requires="a14">
        <xdr:graphicFrame macro="">
          <xdr:nvGraphicFramePr>
            <xdr:cNvPr id="7" name="Sales">
              <a:extLst>
                <a:ext uri="{FF2B5EF4-FFF2-40B4-BE49-F238E27FC236}">
                  <a16:creationId xmlns:a16="http://schemas.microsoft.com/office/drawing/2014/main" id="{818717AC-4D75-B75A-D7E1-6C1919BDAD9B}"/>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3505200" y="861061"/>
              <a:ext cx="1501140" cy="594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4</xdr:row>
      <xdr:rowOff>53341</xdr:rowOff>
    </xdr:from>
    <xdr:to>
      <xdr:col>7</xdr:col>
      <xdr:colOff>1104900</xdr:colOff>
      <xdr:row>7</xdr:row>
      <xdr:rowOff>129540</xdr:rowOff>
    </xdr:to>
    <mc:AlternateContent xmlns:mc="http://schemas.openxmlformats.org/markup-compatibility/2006" xmlns:a14="http://schemas.microsoft.com/office/drawing/2010/main">
      <mc:Choice Requires="a14">
        <xdr:graphicFrame macro="">
          <xdr:nvGraphicFramePr>
            <xdr:cNvPr id="9" name="Months (Order Date)">
              <a:extLst>
                <a:ext uri="{FF2B5EF4-FFF2-40B4-BE49-F238E27FC236}">
                  <a16:creationId xmlns:a16="http://schemas.microsoft.com/office/drawing/2014/main" id="{2310E1AE-7F2A-DBC5-0248-EA2A65349E20}"/>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60960" y="845821"/>
              <a:ext cx="1348740" cy="624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3627120</xdr:colOff>
      <xdr:row>8</xdr:row>
      <xdr:rowOff>83820</xdr:rowOff>
    </xdr:from>
    <xdr:to>
      <xdr:col>10</xdr:col>
      <xdr:colOff>1379220</xdr:colOff>
      <xdr:row>17</xdr:row>
      <xdr:rowOff>167640</xdr:rowOff>
    </xdr:to>
    <xdr:graphicFrame macro="">
      <xdr:nvGraphicFramePr>
        <xdr:cNvPr id="10" name="Chart 9">
          <a:extLst>
            <a:ext uri="{FF2B5EF4-FFF2-40B4-BE49-F238E27FC236}">
              <a16:creationId xmlns:a16="http://schemas.microsoft.com/office/drawing/2014/main" id="{B73CC69A-CCE1-4098-8635-F3CDA3925A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15240</xdr:colOff>
      <xdr:row>19</xdr:row>
      <xdr:rowOff>38100</xdr:rowOff>
    </xdr:from>
    <xdr:to>
      <xdr:col>7</xdr:col>
      <xdr:colOff>3589020</xdr:colOff>
      <xdr:row>28</xdr:row>
      <xdr:rowOff>106680</xdr:rowOff>
    </xdr:to>
    <xdr:graphicFrame macro="">
      <xdr:nvGraphicFramePr>
        <xdr:cNvPr id="11" name="Chart 10">
          <a:extLst>
            <a:ext uri="{FF2B5EF4-FFF2-40B4-BE49-F238E27FC236}">
              <a16:creationId xmlns:a16="http://schemas.microsoft.com/office/drawing/2014/main" id="{AA46A27E-4685-4436-8B15-D210798821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15240</xdr:colOff>
      <xdr:row>0</xdr:row>
      <xdr:rowOff>0</xdr:rowOff>
    </xdr:from>
    <xdr:to>
      <xdr:col>16</xdr:col>
      <xdr:colOff>129540</xdr:colOff>
      <xdr:row>2</xdr:row>
      <xdr:rowOff>60960</xdr:rowOff>
    </xdr:to>
    <xdr:sp macro="" textlink="">
      <xdr:nvSpPr>
        <xdr:cNvPr id="12" name="Rectangle: Rounded Corners 11">
          <a:extLst>
            <a:ext uri="{FF2B5EF4-FFF2-40B4-BE49-F238E27FC236}">
              <a16:creationId xmlns:a16="http://schemas.microsoft.com/office/drawing/2014/main" id="{F3A3555D-D6A2-FFA4-2EA1-F6665A830E43}"/>
            </a:ext>
          </a:extLst>
        </xdr:cNvPr>
        <xdr:cNvSpPr/>
      </xdr:nvSpPr>
      <xdr:spPr>
        <a:xfrm>
          <a:off x="15240" y="0"/>
          <a:ext cx="10690860" cy="4876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t>                                                    Retail Sales Orders</a:t>
          </a:r>
        </a:p>
      </xdr:txBody>
    </xdr:sp>
    <xdr:clientData/>
  </xdr:twoCellAnchor>
  <xdr:twoCellAnchor editAs="oneCell">
    <xdr:from>
      <xdr:col>7</xdr:col>
      <xdr:colOff>1196340</xdr:colOff>
      <xdr:row>4</xdr:row>
      <xdr:rowOff>83819</xdr:rowOff>
    </xdr:from>
    <xdr:to>
      <xdr:col>7</xdr:col>
      <xdr:colOff>3025140</xdr:colOff>
      <xdr:row>7</xdr:row>
      <xdr:rowOff>137160</xdr:rowOff>
    </xdr:to>
    <mc:AlternateContent xmlns:mc="http://schemas.openxmlformats.org/markup-compatibility/2006" xmlns:a14="http://schemas.microsoft.com/office/drawing/2010/main">
      <mc:Choice Requires="a14">
        <xdr:graphicFrame macro="">
          <xdr:nvGraphicFramePr>
            <xdr:cNvPr id="13" name="State">
              <a:extLst>
                <a:ext uri="{FF2B5EF4-FFF2-40B4-BE49-F238E27FC236}">
                  <a16:creationId xmlns:a16="http://schemas.microsoft.com/office/drawing/2014/main" id="{71EB33E7-D9B4-C24C-F063-0DA2A886E4DE}"/>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501140" y="876299"/>
              <a:ext cx="1828800" cy="6019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poorti" refreshedDate="46293.474665624999" createdVersion="8" refreshedVersion="8" minRefreshableVersion="3" recordCount="1000" xr:uid="{D0BE6D3B-867C-4669-8441-5827DE6AF083}">
  <cacheSource type="worksheet">
    <worksheetSource ref="A1:P1001" sheet="Retail Sales Data"/>
  </cacheSource>
  <cacheFields count="19">
    <cacheField name="Order ID" numFmtId="0">
      <sharedItems count="1000">
        <s v="ORD10001"/>
        <s v="ORD10002"/>
        <s v="ORD10003"/>
        <s v="ORD10004"/>
        <s v="ORD10005"/>
        <s v="ORD10006"/>
        <s v="ORD10007"/>
        <s v="ORD10008"/>
        <s v="ORD10009"/>
        <s v="ORD10010"/>
        <s v="ORD10011"/>
        <s v="ORD10012"/>
        <s v="ORD10013"/>
        <s v="ORD10014"/>
        <s v="ORD10015"/>
        <s v="ORD10016"/>
        <s v="ORD10017"/>
        <s v="ORD10018"/>
        <s v="ORD10019"/>
        <s v="ORD10020"/>
        <s v="ORD10021"/>
        <s v="ORD10022"/>
        <s v="ORD10023"/>
        <s v="ORD10024"/>
        <s v="ORD10025"/>
        <s v="ORD10026"/>
        <s v="ORD10027"/>
        <s v="ORD10028"/>
        <s v="ORD10029"/>
        <s v="ORD10030"/>
        <s v="ORD10031"/>
        <s v="ORD10032"/>
        <s v="ORD10033"/>
        <s v="ORD10034"/>
        <s v="ORD10035"/>
        <s v="ORD10036"/>
        <s v="ORD10037"/>
        <s v="ORD10038"/>
        <s v="ORD10039"/>
        <s v="ORD10040"/>
        <s v="ORD10041"/>
        <s v="ORD10042"/>
        <s v="ORD10043"/>
        <s v="ORD10044"/>
        <s v="ORD10045"/>
        <s v="ORD10046"/>
        <s v="ORD10047"/>
        <s v="ORD10048"/>
        <s v="ORD10049"/>
        <s v="ORD10050"/>
        <s v="ORD10051"/>
        <s v="ORD10052"/>
        <s v="ORD10053"/>
        <s v="ORD10054"/>
        <s v="ORD10055"/>
        <s v="ORD10056"/>
        <s v="ORD10057"/>
        <s v="ORD10058"/>
        <s v="ORD10059"/>
        <s v="ORD10060"/>
        <s v="ORD10061"/>
        <s v="ORD10062"/>
        <s v="ORD10063"/>
        <s v="ORD10064"/>
        <s v="ORD10065"/>
        <s v="ORD10066"/>
        <s v="ORD10067"/>
        <s v="ORD10068"/>
        <s v="ORD10069"/>
        <s v="ORD10070"/>
        <s v="ORD10071"/>
        <s v="ORD10072"/>
        <s v="ORD10073"/>
        <s v="ORD10074"/>
        <s v="ORD10075"/>
        <s v="ORD10076"/>
        <s v="ORD10077"/>
        <s v="ORD10078"/>
        <s v="ORD10079"/>
        <s v="ORD10080"/>
        <s v="ORD10081"/>
        <s v="ORD10082"/>
        <s v="ORD10083"/>
        <s v="ORD10084"/>
        <s v="ORD10085"/>
        <s v="ORD10086"/>
        <s v="ORD10087"/>
        <s v="ORD10088"/>
        <s v="ORD10089"/>
        <s v="ORD10090"/>
        <s v="ORD10091"/>
        <s v="ORD10092"/>
        <s v="ORD10093"/>
        <s v="ORD10094"/>
        <s v="ORD10095"/>
        <s v="ORD10096"/>
        <s v="ORD10097"/>
        <s v="ORD10098"/>
        <s v="ORD10099"/>
        <s v="ORD10100"/>
        <s v="ORD10101"/>
        <s v="ORD10102"/>
        <s v="ORD10103"/>
        <s v="ORD10104"/>
        <s v="ORD10105"/>
        <s v="ORD10106"/>
        <s v="ORD10107"/>
        <s v="ORD10108"/>
        <s v="ORD10109"/>
        <s v="ORD10110"/>
        <s v="ORD10111"/>
        <s v="ORD10112"/>
        <s v="ORD10113"/>
        <s v="ORD10114"/>
        <s v="ORD10115"/>
        <s v="ORD10116"/>
        <s v="ORD10117"/>
        <s v="ORD10118"/>
        <s v="ORD10119"/>
        <s v="ORD10120"/>
        <s v="ORD10121"/>
        <s v="ORD10122"/>
        <s v="ORD10123"/>
        <s v="ORD10124"/>
        <s v="ORD10125"/>
        <s v="ORD10126"/>
        <s v="ORD10127"/>
        <s v="ORD10128"/>
        <s v="ORD10129"/>
        <s v="ORD10130"/>
        <s v="ORD10131"/>
        <s v="ORD10132"/>
        <s v="ORD10133"/>
        <s v="ORD10134"/>
        <s v="ORD10135"/>
        <s v="ORD10136"/>
        <s v="ORD10137"/>
        <s v="ORD10138"/>
        <s v="ORD10139"/>
        <s v="ORD10140"/>
        <s v="ORD10141"/>
        <s v="ORD10142"/>
        <s v="ORD10143"/>
        <s v="ORD10144"/>
        <s v="ORD10145"/>
        <s v="ORD10146"/>
        <s v="ORD10147"/>
        <s v="ORD10148"/>
        <s v="ORD10149"/>
        <s v="ORD10150"/>
        <s v="ORD10151"/>
        <s v="ORD10152"/>
        <s v="ORD10153"/>
        <s v="ORD10154"/>
        <s v="ORD10155"/>
        <s v="ORD10156"/>
        <s v="ORD10157"/>
        <s v="ORD10158"/>
        <s v="ORD10159"/>
        <s v="ORD10160"/>
        <s v="ORD10161"/>
        <s v="ORD10162"/>
        <s v="ORD10163"/>
        <s v="ORD10164"/>
        <s v="ORD10165"/>
        <s v="ORD10166"/>
        <s v="ORD10167"/>
        <s v="ORD10168"/>
        <s v="ORD10169"/>
        <s v="ORD10170"/>
        <s v="ORD10171"/>
        <s v="ORD10172"/>
        <s v="ORD10173"/>
        <s v="ORD10174"/>
        <s v="ORD10175"/>
        <s v="ORD10176"/>
        <s v="ORD10177"/>
        <s v="ORD10178"/>
        <s v="ORD10179"/>
        <s v="ORD10180"/>
        <s v="ORD10181"/>
        <s v="ORD10182"/>
        <s v="ORD10183"/>
        <s v="ORD10184"/>
        <s v="ORD10185"/>
        <s v="ORD10186"/>
        <s v="ORD10187"/>
        <s v="ORD10188"/>
        <s v="ORD10189"/>
        <s v="ORD10190"/>
        <s v="ORD10191"/>
        <s v="ORD10192"/>
        <s v="ORD10193"/>
        <s v="ORD10194"/>
        <s v="ORD10195"/>
        <s v="ORD10196"/>
        <s v="ORD10197"/>
        <s v="ORD10198"/>
        <s v="ORD10199"/>
        <s v="ORD10200"/>
        <s v="ORD10201"/>
        <s v="ORD10202"/>
        <s v="ORD10203"/>
        <s v="ORD10204"/>
        <s v="ORD10205"/>
        <s v="ORD10206"/>
        <s v="ORD10207"/>
        <s v="ORD10208"/>
        <s v="ORD10209"/>
        <s v="ORD10210"/>
        <s v="ORD10211"/>
        <s v="ORD10212"/>
        <s v="ORD10213"/>
        <s v="ORD10214"/>
        <s v="ORD10215"/>
        <s v="ORD10216"/>
        <s v="ORD10217"/>
        <s v="ORD10218"/>
        <s v="ORD10219"/>
        <s v="ORD10220"/>
        <s v="ORD10221"/>
        <s v="ORD10222"/>
        <s v="ORD10223"/>
        <s v="ORD10224"/>
        <s v="ORD10225"/>
        <s v="ORD10226"/>
        <s v="ORD10227"/>
        <s v="ORD10228"/>
        <s v="ORD10229"/>
        <s v="ORD10230"/>
        <s v="ORD10231"/>
        <s v="ORD10232"/>
        <s v="ORD10233"/>
        <s v="ORD10234"/>
        <s v="ORD10235"/>
        <s v="ORD10236"/>
        <s v="ORD10237"/>
        <s v="ORD10238"/>
        <s v="ORD10239"/>
        <s v="ORD10240"/>
        <s v="ORD10241"/>
        <s v="ORD10242"/>
        <s v="ORD10243"/>
        <s v="ORD10244"/>
        <s v="ORD10245"/>
        <s v="ORD10246"/>
        <s v="ORD10247"/>
        <s v="ORD10248"/>
        <s v="ORD10249"/>
        <s v="ORD10250"/>
        <s v="ORD10251"/>
        <s v="ORD10252"/>
        <s v="ORD10253"/>
        <s v="ORD10254"/>
        <s v="ORD10255"/>
        <s v="ORD10256"/>
        <s v="ORD10257"/>
        <s v="ORD10258"/>
        <s v="ORD10259"/>
        <s v="ORD10260"/>
        <s v="ORD10261"/>
        <s v="ORD10262"/>
        <s v="ORD10263"/>
        <s v="ORD10264"/>
        <s v="ORD10265"/>
        <s v="ORD10266"/>
        <s v="ORD10267"/>
        <s v="ORD10268"/>
        <s v="ORD10269"/>
        <s v="ORD10270"/>
        <s v="ORD10271"/>
        <s v="ORD10272"/>
        <s v="ORD10273"/>
        <s v="ORD10274"/>
        <s v="ORD10275"/>
        <s v="ORD10276"/>
        <s v="ORD10277"/>
        <s v="ORD10278"/>
        <s v="ORD10279"/>
        <s v="ORD10280"/>
        <s v="ORD10281"/>
        <s v="ORD10282"/>
        <s v="ORD10283"/>
        <s v="ORD10284"/>
        <s v="ORD10285"/>
        <s v="ORD10286"/>
        <s v="ORD10287"/>
        <s v="ORD10288"/>
        <s v="ORD10289"/>
        <s v="ORD10290"/>
        <s v="ORD10291"/>
        <s v="ORD10292"/>
        <s v="ORD10293"/>
        <s v="ORD10294"/>
        <s v="ORD10295"/>
        <s v="ORD10296"/>
        <s v="ORD10297"/>
        <s v="ORD10298"/>
        <s v="ORD10299"/>
        <s v="ORD10300"/>
        <s v="ORD10301"/>
        <s v="ORD10302"/>
        <s v="ORD10303"/>
        <s v="ORD10304"/>
        <s v="ORD10305"/>
        <s v="ORD10306"/>
        <s v="ORD10307"/>
        <s v="ORD10308"/>
        <s v="ORD10309"/>
        <s v="ORD10310"/>
        <s v="ORD10311"/>
        <s v="ORD10312"/>
        <s v="ORD10313"/>
        <s v="ORD10314"/>
        <s v="ORD10315"/>
        <s v="ORD10316"/>
        <s v="ORD10317"/>
        <s v="ORD10318"/>
        <s v="ORD10319"/>
        <s v="ORD10320"/>
        <s v="ORD10321"/>
        <s v="ORD10322"/>
        <s v="ORD10323"/>
        <s v="ORD10324"/>
        <s v="ORD10325"/>
        <s v="ORD10326"/>
        <s v="ORD10327"/>
        <s v="ORD10328"/>
        <s v="ORD10329"/>
        <s v="ORD10330"/>
        <s v="ORD10331"/>
        <s v="ORD10332"/>
        <s v="ORD10333"/>
        <s v="ORD10334"/>
        <s v="ORD10335"/>
        <s v="ORD10336"/>
        <s v="ORD10337"/>
        <s v="ORD10338"/>
        <s v="ORD10339"/>
        <s v="ORD10340"/>
        <s v="ORD10341"/>
        <s v="ORD10342"/>
        <s v="ORD10343"/>
        <s v="ORD10344"/>
        <s v="ORD10345"/>
        <s v="ORD10346"/>
        <s v="ORD10347"/>
        <s v="ORD10348"/>
        <s v="ORD10349"/>
        <s v="ORD10350"/>
        <s v="ORD10351"/>
        <s v="ORD10352"/>
        <s v="ORD10353"/>
        <s v="ORD10354"/>
        <s v="ORD10355"/>
        <s v="ORD10356"/>
        <s v="ORD10357"/>
        <s v="ORD10358"/>
        <s v="ORD10359"/>
        <s v="ORD10360"/>
        <s v="ORD10361"/>
        <s v="ORD10362"/>
        <s v="ORD10363"/>
        <s v="ORD10364"/>
        <s v="ORD10365"/>
        <s v="ORD10366"/>
        <s v="ORD10367"/>
        <s v="ORD10368"/>
        <s v="ORD10369"/>
        <s v="ORD10370"/>
        <s v="ORD10371"/>
        <s v="ORD10372"/>
        <s v="ORD10373"/>
        <s v="ORD10374"/>
        <s v="ORD10375"/>
        <s v="ORD10376"/>
        <s v="ORD10377"/>
        <s v="ORD10378"/>
        <s v="ORD10379"/>
        <s v="ORD10380"/>
        <s v="ORD10381"/>
        <s v="ORD10382"/>
        <s v="ORD10383"/>
        <s v="ORD10384"/>
        <s v="ORD10385"/>
        <s v="ORD10386"/>
        <s v="ORD10387"/>
        <s v="ORD10388"/>
        <s v="ORD10389"/>
        <s v="ORD10390"/>
        <s v="ORD10391"/>
        <s v="ORD10392"/>
        <s v="ORD10393"/>
        <s v="ORD10394"/>
        <s v="ORD10395"/>
        <s v="ORD10396"/>
        <s v="ORD10397"/>
        <s v="ORD10398"/>
        <s v="ORD10399"/>
        <s v="ORD10400"/>
        <s v="ORD10401"/>
        <s v="ORD10402"/>
        <s v="ORD10403"/>
        <s v="ORD10404"/>
        <s v="ORD10405"/>
        <s v="ORD10406"/>
        <s v="ORD10407"/>
        <s v="ORD10408"/>
        <s v="ORD10409"/>
        <s v="ORD10410"/>
        <s v="ORD10411"/>
        <s v="ORD10412"/>
        <s v="ORD10413"/>
        <s v="ORD10414"/>
        <s v="ORD10415"/>
        <s v="ORD10416"/>
        <s v="ORD10417"/>
        <s v="ORD10418"/>
        <s v="ORD10419"/>
        <s v="ORD10420"/>
        <s v="ORD10421"/>
        <s v="ORD10422"/>
        <s v="ORD10423"/>
        <s v="ORD10424"/>
        <s v="ORD10425"/>
        <s v="ORD10426"/>
        <s v="ORD10427"/>
        <s v="ORD10428"/>
        <s v="ORD10429"/>
        <s v="ORD10430"/>
        <s v="ORD10431"/>
        <s v="ORD10432"/>
        <s v="ORD10433"/>
        <s v="ORD10434"/>
        <s v="ORD10435"/>
        <s v="ORD10436"/>
        <s v="ORD10437"/>
        <s v="ORD10438"/>
        <s v="ORD10439"/>
        <s v="ORD10440"/>
        <s v="ORD10441"/>
        <s v="ORD10442"/>
        <s v="ORD10443"/>
        <s v="ORD10444"/>
        <s v="ORD10445"/>
        <s v="ORD10446"/>
        <s v="ORD10447"/>
        <s v="ORD10448"/>
        <s v="ORD10449"/>
        <s v="ORD10450"/>
        <s v="ORD10451"/>
        <s v="ORD10452"/>
        <s v="ORD10453"/>
        <s v="ORD10454"/>
        <s v="ORD10455"/>
        <s v="ORD10456"/>
        <s v="ORD10457"/>
        <s v="ORD10458"/>
        <s v="ORD10459"/>
        <s v="ORD10460"/>
        <s v="ORD10461"/>
        <s v="ORD10462"/>
        <s v="ORD10463"/>
        <s v="ORD10464"/>
        <s v="ORD10465"/>
        <s v="ORD10466"/>
        <s v="ORD10467"/>
        <s v="ORD10468"/>
        <s v="ORD10469"/>
        <s v="ORD10470"/>
        <s v="ORD10471"/>
        <s v="ORD10472"/>
        <s v="ORD10473"/>
        <s v="ORD10474"/>
        <s v="ORD10475"/>
        <s v="ORD10476"/>
        <s v="ORD10477"/>
        <s v="ORD10478"/>
        <s v="ORD10479"/>
        <s v="ORD10480"/>
        <s v="ORD10481"/>
        <s v="ORD10482"/>
        <s v="ORD10483"/>
        <s v="ORD10484"/>
        <s v="ORD10485"/>
        <s v="ORD10486"/>
        <s v="ORD10487"/>
        <s v="ORD10488"/>
        <s v="ORD10489"/>
        <s v="ORD10490"/>
        <s v="ORD10491"/>
        <s v="ORD10492"/>
        <s v="ORD10493"/>
        <s v="ORD10494"/>
        <s v="ORD10495"/>
        <s v="ORD10496"/>
        <s v="ORD10497"/>
        <s v="ORD10498"/>
        <s v="ORD10499"/>
        <s v="ORD10500"/>
        <s v="ORD10501"/>
        <s v="ORD10502"/>
        <s v="ORD10503"/>
        <s v="ORD10504"/>
        <s v="ORD10505"/>
        <s v="ORD10506"/>
        <s v="ORD10507"/>
        <s v="ORD10508"/>
        <s v="ORD10509"/>
        <s v="ORD10510"/>
        <s v="ORD10511"/>
        <s v="ORD10512"/>
        <s v="ORD10513"/>
        <s v="ORD10514"/>
        <s v="ORD10515"/>
        <s v="ORD10516"/>
        <s v="ORD10517"/>
        <s v="ORD10518"/>
        <s v="ORD10519"/>
        <s v="ORD10520"/>
        <s v="ORD10521"/>
        <s v="ORD10522"/>
        <s v="ORD10523"/>
        <s v="ORD10524"/>
        <s v="ORD10525"/>
        <s v="ORD10526"/>
        <s v="ORD10527"/>
        <s v="ORD10528"/>
        <s v="ORD10529"/>
        <s v="ORD10530"/>
        <s v="ORD10531"/>
        <s v="ORD10532"/>
        <s v="ORD10533"/>
        <s v="ORD10534"/>
        <s v="ORD10535"/>
        <s v="ORD10536"/>
        <s v="ORD10537"/>
        <s v="ORD10538"/>
        <s v="ORD10539"/>
        <s v="ORD10540"/>
        <s v="ORD10541"/>
        <s v="ORD10542"/>
        <s v="ORD10543"/>
        <s v="ORD10544"/>
        <s v="ORD10545"/>
        <s v="ORD10546"/>
        <s v="ORD10547"/>
        <s v="ORD10548"/>
        <s v="ORD10549"/>
        <s v="ORD10550"/>
        <s v="ORD10551"/>
        <s v="ORD10552"/>
        <s v="ORD10553"/>
        <s v="ORD10554"/>
        <s v="ORD10555"/>
        <s v="ORD10556"/>
        <s v="ORD10557"/>
        <s v="ORD10558"/>
        <s v="ORD10559"/>
        <s v="ORD10560"/>
        <s v="ORD10561"/>
        <s v="ORD10562"/>
        <s v="ORD10563"/>
        <s v="ORD10564"/>
        <s v="ORD10565"/>
        <s v="ORD10566"/>
        <s v="ORD10567"/>
        <s v="ORD10568"/>
        <s v="ORD10569"/>
        <s v="ORD10570"/>
        <s v="ORD10571"/>
        <s v="ORD10572"/>
        <s v="ORD10573"/>
        <s v="ORD10574"/>
        <s v="ORD10575"/>
        <s v="ORD10576"/>
        <s v="ORD10577"/>
        <s v="ORD10578"/>
        <s v="ORD10579"/>
        <s v="ORD10580"/>
        <s v="ORD10581"/>
        <s v="ORD10582"/>
        <s v="ORD10583"/>
        <s v="ORD10584"/>
        <s v="ORD10585"/>
        <s v="ORD10586"/>
        <s v="ORD10587"/>
        <s v="ORD10588"/>
        <s v="ORD10589"/>
        <s v="ORD10590"/>
        <s v="ORD10591"/>
        <s v="ORD10592"/>
        <s v="ORD10593"/>
        <s v="ORD10594"/>
        <s v="ORD10595"/>
        <s v="ORD10596"/>
        <s v="ORD10597"/>
        <s v="ORD10598"/>
        <s v="ORD10599"/>
        <s v="ORD10600"/>
        <s v="ORD10601"/>
        <s v="ORD10602"/>
        <s v="ORD10603"/>
        <s v="ORD10604"/>
        <s v="ORD10605"/>
        <s v="ORD10606"/>
        <s v="ORD10607"/>
        <s v="ORD10608"/>
        <s v="ORD10609"/>
        <s v="ORD10610"/>
        <s v="ORD10611"/>
        <s v="ORD10612"/>
        <s v="ORD10613"/>
        <s v="ORD10614"/>
        <s v="ORD10615"/>
        <s v="ORD10616"/>
        <s v="ORD10617"/>
        <s v="ORD10618"/>
        <s v="ORD10619"/>
        <s v="ORD10620"/>
        <s v="ORD10621"/>
        <s v="ORD10622"/>
        <s v="ORD10623"/>
        <s v="ORD10624"/>
        <s v="ORD10625"/>
        <s v="ORD10626"/>
        <s v="ORD10627"/>
        <s v="ORD10628"/>
        <s v="ORD10629"/>
        <s v="ORD10630"/>
        <s v="ORD10631"/>
        <s v="ORD10632"/>
        <s v="ORD10633"/>
        <s v="ORD10634"/>
        <s v="ORD10635"/>
        <s v="ORD10636"/>
        <s v="ORD10637"/>
        <s v="ORD10638"/>
        <s v="ORD10639"/>
        <s v="ORD10640"/>
        <s v="ORD10641"/>
        <s v="ORD10642"/>
        <s v="ORD10643"/>
        <s v="ORD10644"/>
        <s v="ORD10645"/>
        <s v="ORD10646"/>
        <s v="ORD10647"/>
        <s v="ORD10648"/>
        <s v="ORD10649"/>
        <s v="ORD10650"/>
        <s v="ORD10651"/>
        <s v="ORD10652"/>
        <s v="ORD10653"/>
        <s v="ORD10654"/>
        <s v="ORD10655"/>
        <s v="ORD10656"/>
        <s v="ORD10657"/>
        <s v="ORD10658"/>
        <s v="ORD10659"/>
        <s v="ORD10660"/>
        <s v="ORD10661"/>
        <s v="ORD10662"/>
        <s v="ORD10663"/>
        <s v="ORD10664"/>
        <s v="ORD10665"/>
        <s v="ORD10666"/>
        <s v="ORD10667"/>
        <s v="ORD10668"/>
        <s v="ORD10669"/>
        <s v="ORD10670"/>
        <s v="ORD10671"/>
        <s v="ORD10672"/>
        <s v="ORD10673"/>
        <s v="ORD10674"/>
        <s v="ORD10675"/>
        <s v="ORD10676"/>
        <s v="ORD10677"/>
        <s v="ORD10678"/>
        <s v="ORD10679"/>
        <s v="ORD10680"/>
        <s v="ORD10681"/>
        <s v="ORD10682"/>
        <s v="ORD10683"/>
        <s v="ORD10684"/>
        <s v="ORD10685"/>
        <s v="ORD10686"/>
        <s v="ORD10687"/>
        <s v="ORD10688"/>
        <s v="ORD10689"/>
        <s v="ORD10690"/>
        <s v="ORD10691"/>
        <s v="ORD10692"/>
        <s v="ORD10693"/>
        <s v="ORD10694"/>
        <s v="ORD10695"/>
        <s v="ORD10696"/>
        <s v="ORD10697"/>
        <s v="ORD10698"/>
        <s v="ORD10699"/>
        <s v="ORD10700"/>
        <s v="ORD10701"/>
        <s v="ORD10702"/>
        <s v="ORD10703"/>
        <s v="ORD10704"/>
        <s v="ORD10705"/>
        <s v="ORD10706"/>
        <s v="ORD10707"/>
        <s v="ORD10708"/>
        <s v="ORD10709"/>
        <s v="ORD10710"/>
        <s v="ORD10711"/>
        <s v="ORD10712"/>
        <s v="ORD10713"/>
        <s v="ORD10714"/>
        <s v="ORD10715"/>
        <s v="ORD10716"/>
        <s v="ORD10717"/>
        <s v="ORD10718"/>
        <s v="ORD10719"/>
        <s v="ORD10720"/>
        <s v="ORD10721"/>
        <s v="ORD10722"/>
        <s v="ORD10723"/>
        <s v="ORD10724"/>
        <s v="ORD10725"/>
        <s v="ORD10726"/>
        <s v="ORD10727"/>
        <s v="ORD10728"/>
        <s v="ORD10729"/>
        <s v="ORD10730"/>
        <s v="ORD10731"/>
        <s v="ORD10732"/>
        <s v="ORD10733"/>
        <s v="ORD10734"/>
        <s v="ORD10735"/>
        <s v="ORD10736"/>
        <s v="ORD10737"/>
        <s v="ORD10738"/>
        <s v="ORD10739"/>
        <s v="ORD10740"/>
        <s v="ORD10741"/>
        <s v="ORD10742"/>
        <s v="ORD10743"/>
        <s v="ORD10744"/>
        <s v="ORD10745"/>
        <s v="ORD10746"/>
        <s v="ORD10747"/>
        <s v="ORD10748"/>
        <s v="ORD10749"/>
        <s v="ORD10750"/>
        <s v="ORD10751"/>
        <s v="ORD10752"/>
        <s v="ORD10753"/>
        <s v="ORD10754"/>
        <s v="ORD10755"/>
        <s v="ORD10756"/>
        <s v="ORD10757"/>
        <s v="ORD10758"/>
        <s v="ORD10759"/>
        <s v="ORD10760"/>
        <s v="ORD10761"/>
        <s v="ORD10762"/>
        <s v="ORD10763"/>
        <s v="ORD10764"/>
        <s v="ORD10765"/>
        <s v="ORD10766"/>
        <s v="ORD10767"/>
        <s v="ORD10768"/>
        <s v="ORD10769"/>
        <s v="ORD10770"/>
        <s v="ORD10771"/>
        <s v="ORD10772"/>
        <s v="ORD10773"/>
        <s v="ORD10774"/>
        <s v="ORD10775"/>
        <s v="ORD10776"/>
        <s v="ORD10777"/>
        <s v="ORD10778"/>
        <s v="ORD10779"/>
        <s v="ORD10780"/>
        <s v="ORD10781"/>
        <s v="ORD10782"/>
        <s v="ORD10783"/>
        <s v="ORD10784"/>
        <s v="ORD10785"/>
        <s v="ORD10786"/>
        <s v="ORD10787"/>
        <s v="ORD10788"/>
        <s v="ORD10789"/>
        <s v="ORD10790"/>
        <s v="ORD10791"/>
        <s v="ORD10792"/>
        <s v="ORD10793"/>
        <s v="ORD10794"/>
        <s v="ORD10795"/>
        <s v="ORD10796"/>
        <s v="ORD10797"/>
        <s v="ORD10798"/>
        <s v="ORD10799"/>
        <s v="ORD10800"/>
        <s v="ORD10801"/>
        <s v="ORD10802"/>
        <s v="ORD10803"/>
        <s v="ORD10804"/>
        <s v="ORD10805"/>
        <s v="ORD10806"/>
        <s v="ORD10807"/>
        <s v="ORD10808"/>
        <s v="ORD10809"/>
        <s v="ORD10810"/>
        <s v="ORD10811"/>
        <s v="ORD10812"/>
        <s v="ORD10813"/>
        <s v="ORD10814"/>
        <s v="ORD10815"/>
        <s v="ORD10816"/>
        <s v="ORD10817"/>
        <s v="ORD10818"/>
        <s v="ORD10819"/>
        <s v="ORD10820"/>
        <s v="ORD10821"/>
        <s v="ORD10822"/>
        <s v="ORD10823"/>
        <s v="ORD10824"/>
        <s v="ORD10825"/>
        <s v="ORD10826"/>
        <s v="ORD10827"/>
        <s v="ORD10828"/>
        <s v="ORD10829"/>
        <s v="ORD10830"/>
        <s v="ORD10831"/>
        <s v="ORD10832"/>
        <s v="ORD10833"/>
        <s v="ORD10834"/>
        <s v="ORD10835"/>
        <s v="ORD10836"/>
        <s v="ORD10837"/>
        <s v="ORD10838"/>
        <s v="ORD10839"/>
        <s v="ORD10840"/>
        <s v="ORD10841"/>
        <s v="ORD10842"/>
        <s v="ORD10843"/>
        <s v="ORD10844"/>
        <s v="ORD10845"/>
        <s v="ORD10846"/>
        <s v="ORD10847"/>
        <s v="ORD10848"/>
        <s v="ORD10849"/>
        <s v="ORD10850"/>
        <s v="ORD10851"/>
        <s v="ORD10852"/>
        <s v="ORD10853"/>
        <s v="ORD10854"/>
        <s v="ORD10855"/>
        <s v="ORD10856"/>
        <s v="ORD10857"/>
        <s v="ORD10858"/>
        <s v="ORD10859"/>
        <s v="ORD10860"/>
        <s v="ORD10861"/>
        <s v="ORD10862"/>
        <s v="ORD10863"/>
        <s v="ORD10864"/>
        <s v="ORD10865"/>
        <s v="ORD10866"/>
        <s v="ORD10867"/>
        <s v="ORD10868"/>
        <s v="ORD10869"/>
        <s v="ORD10870"/>
        <s v="ORD10871"/>
        <s v="ORD10872"/>
        <s v="ORD10873"/>
        <s v="ORD10874"/>
        <s v="ORD10875"/>
        <s v="ORD10876"/>
        <s v="ORD10877"/>
        <s v="ORD10878"/>
        <s v="ORD10879"/>
        <s v="ORD10880"/>
        <s v="ORD10881"/>
        <s v="ORD10882"/>
        <s v="ORD10883"/>
        <s v="ORD10884"/>
        <s v="ORD10885"/>
        <s v="ORD10886"/>
        <s v="ORD10887"/>
        <s v="ORD10888"/>
        <s v="ORD10889"/>
        <s v="ORD10890"/>
        <s v="ORD10891"/>
        <s v="ORD10892"/>
        <s v="ORD10893"/>
        <s v="ORD10894"/>
        <s v="ORD10895"/>
        <s v="ORD10896"/>
        <s v="ORD10897"/>
        <s v="ORD10898"/>
        <s v="ORD10899"/>
        <s v="ORD10900"/>
        <s v="ORD10901"/>
        <s v="ORD10902"/>
        <s v="ORD10903"/>
        <s v="ORD10904"/>
        <s v="ORD10905"/>
        <s v="ORD10906"/>
        <s v="ORD10907"/>
        <s v="ORD10908"/>
        <s v="ORD10909"/>
        <s v="ORD10910"/>
        <s v="ORD10911"/>
        <s v="ORD10912"/>
        <s v="ORD10913"/>
        <s v="ORD10914"/>
        <s v="ORD10915"/>
        <s v="ORD10916"/>
        <s v="ORD10917"/>
        <s v="ORD10918"/>
        <s v="ORD10919"/>
        <s v="ORD10920"/>
        <s v="ORD10921"/>
        <s v="ORD10922"/>
        <s v="ORD10923"/>
        <s v="ORD10924"/>
        <s v="ORD10925"/>
        <s v="ORD10926"/>
        <s v="ORD10927"/>
        <s v="ORD10928"/>
        <s v="ORD10929"/>
        <s v="ORD10930"/>
        <s v="ORD10931"/>
        <s v="ORD10932"/>
        <s v="ORD10933"/>
        <s v="ORD10934"/>
        <s v="ORD10935"/>
        <s v="ORD10936"/>
        <s v="ORD10937"/>
        <s v="ORD10938"/>
        <s v="ORD10939"/>
        <s v="ORD10940"/>
        <s v="ORD10941"/>
        <s v="ORD10942"/>
        <s v="ORD10943"/>
        <s v="ORD10944"/>
        <s v="ORD10945"/>
        <s v="ORD10946"/>
        <s v="ORD10947"/>
        <s v="ORD10948"/>
        <s v="ORD10949"/>
        <s v="ORD10950"/>
        <s v="ORD10951"/>
        <s v="ORD10952"/>
        <s v="ORD10953"/>
        <s v="ORD10954"/>
        <s v="ORD10955"/>
        <s v="ORD10956"/>
        <s v="ORD10957"/>
        <s v="ORD10958"/>
        <s v="ORD10959"/>
        <s v="ORD10960"/>
        <s v="ORD10961"/>
        <s v="ORD10962"/>
        <s v="ORD10963"/>
        <s v="ORD10964"/>
        <s v="ORD10965"/>
        <s v="ORD10966"/>
        <s v="ORD10967"/>
        <s v="ORD10968"/>
        <s v="ORD10969"/>
        <s v="ORD10970"/>
        <s v="ORD10971"/>
        <s v="ORD10972"/>
        <s v="ORD10973"/>
        <s v="ORD10974"/>
        <s v="ORD10975"/>
        <s v="ORD10976"/>
        <s v="ORD10977"/>
        <s v="ORD10978"/>
        <s v="ORD10979"/>
        <s v="ORD10980"/>
        <s v="ORD10981"/>
        <s v="ORD10982"/>
        <s v="ORD10983"/>
        <s v="ORD10984"/>
        <s v="ORD10985"/>
        <s v="ORD10986"/>
        <s v="ORD10987"/>
        <s v="ORD10988"/>
        <s v="ORD10989"/>
        <s v="ORD10990"/>
        <s v="ORD10991"/>
        <s v="ORD10992"/>
        <s v="ORD10993"/>
        <s v="ORD10994"/>
        <s v="ORD10995"/>
        <s v="ORD10996"/>
        <s v="ORD10997"/>
        <s v="ORD10998"/>
        <s v="ORD10999"/>
        <s v="ORD11000"/>
      </sharedItems>
    </cacheField>
    <cacheField name="Order Date" numFmtId="164">
      <sharedItems containsSemiMixedTypes="0" containsNonDate="0" containsDate="1" containsString="0" minDate="2025-01-01T00:00:00" maxDate="2027-01-01T00:00:00" count="536">
        <d v="2025-08-03T00:00:00"/>
        <d v="2026-04-05T00:00:00"/>
        <d v="2026-04-30T00:00:00"/>
        <d v="2025-12-06T00:00:00"/>
        <d v="2025-04-16T00:00:00"/>
        <d v="2026-12-28T00:00:00"/>
        <d v="2025-03-06T00:00:00"/>
        <d v="2025-02-10T00:00:00"/>
        <d v="2026-09-05T00:00:00"/>
        <d v="2026-04-06T00:00:00"/>
        <d v="2026-11-30T00:00:00"/>
        <d v="2025-11-27T00:00:00"/>
        <d v="2026-10-11T00:00:00"/>
        <d v="2025-09-25T00:00:00"/>
        <d v="2025-08-13T00:00:00"/>
        <d v="2025-10-21T00:00:00"/>
        <d v="2026-10-22T00:00:00"/>
        <d v="2026-10-03T00:00:00"/>
        <d v="2026-07-26T00:00:00"/>
        <d v="2025-06-01T00:00:00"/>
        <d v="2025-12-04T00:00:00"/>
        <d v="2026-10-02T00:00:00"/>
        <d v="2025-01-27T00:00:00"/>
        <d v="2025-08-08T00:00:00"/>
        <d v="2025-09-10T00:00:00"/>
        <d v="2026-10-01T00:00:00"/>
        <d v="2026-02-12T00:00:00"/>
        <d v="2025-04-02T00:00:00"/>
        <d v="2025-02-23T00:00:00"/>
        <d v="2026-10-18T00:00:00"/>
        <d v="2025-04-27T00:00:00"/>
        <d v="2025-09-29T00:00:00"/>
        <d v="2025-03-10T00:00:00"/>
        <d v="2026-06-06T00:00:00"/>
        <d v="2025-12-02T00:00:00"/>
        <d v="2026-02-21T00:00:00"/>
        <d v="2026-02-22T00:00:00"/>
        <d v="2026-04-02T00:00:00"/>
        <d v="2025-10-06T00:00:00"/>
        <d v="2025-08-21T00:00:00"/>
        <d v="2025-01-25T00:00:00"/>
        <d v="2026-09-26T00:00:00"/>
        <d v="2025-06-17T00:00:00"/>
        <d v="2026-10-19T00:00:00"/>
        <d v="2025-02-08T00:00:00"/>
        <d v="2025-12-14T00:00:00"/>
        <d v="2025-07-22T00:00:00"/>
        <d v="2025-09-16T00:00:00"/>
        <d v="2025-06-27T00:00:00"/>
        <d v="2026-07-01T00:00:00"/>
        <d v="2026-01-09T00:00:00"/>
        <d v="2026-05-26T00:00:00"/>
        <d v="2025-03-24T00:00:00"/>
        <d v="2025-03-13T00:00:00"/>
        <d v="2026-02-05T00:00:00"/>
        <d v="2025-12-01T00:00:00"/>
        <d v="2025-05-18T00:00:00"/>
        <d v="2025-04-21T00:00:00"/>
        <d v="2025-01-05T00:00:00"/>
        <d v="2025-03-14T00:00:00"/>
        <d v="2026-12-27T00:00:00"/>
        <d v="2025-12-29T00:00:00"/>
        <d v="2025-09-30T00:00:00"/>
        <d v="2026-01-12T00:00:00"/>
        <d v="2025-05-17T00:00:00"/>
        <d v="2026-05-19T00:00:00"/>
        <d v="2026-12-25T00:00:00"/>
        <d v="2026-11-04T00:00:00"/>
        <d v="2026-07-04T00:00:00"/>
        <d v="2025-03-19T00:00:00"/>
        <d v="2026-07-29T00:00:00"/>
        <d v="2026-10-08T00:00:00"/>
        <d v="2025-06-08T00:00:00"/>
        <d v="2025-10-19T00:00:00"/>
        <d v="2026-01-31T00:00:00"/>
        <d v="2025-05-07T00:00:00"/>
        <d v="2026-02-09T00:00:00"/>
        <d v="2025-11-09T00:00:00"/>
        <d v="2025-06-28T00:00:00"/>
        <d v="2025-03-25T00:00:00"/>
        <d v="2026-03-11T00:00:00"/>
        <d v="2025-07-13T00:00:00"/>
        <d v="2026-01-15T00:00:00"/>
        <d v="2026-05-06T00:00:00"/>
        <d v="2025-05-27T00:00:00"/>
        <d v="2026-04-16T00:00:00"/>
        <d v="2025-10-07T00:00:00"/>
        <d v="2025-10-05T00:00:00"/>
        <d v="2025-05-10T00:00:00"/>
        <d v="2025-08-15T00:00:00"/>
        <d v="2025-12-31T00:00:00"/>
        <d v="2025-01-17T00:00:00"/>
        <d v="2025-03-30T00:00:00"/>
        <d v="2025-03-27T00:00:00"/>
        <d v="2026-02-06T00:00:00"/>
        <d v="2025-12-30T00:00:00"/>
        <d v="2025-11-07T00:00:00"/>
        <d v="2026-04-22T00:00:00"/>
        <d v="2025-05-22T00:00:00"/>
        <d v="2025-07-06T00:00:00"/>
        <d v="2026-07-25T00:00:00"/>
        <d v="2026-11-21T00:00:00"/>
        <d v="2026-09-02T00:00:00"/>
        <d v="2025-08-14T00:00:00"/>
        <d v="2025-10-28T00:00:00"/>
        <d v="2025-12-19T00:00:00"/>
        <d v="2025-01-31T00:00:00"/>
        <d v="2025-08-12T00:00:00"/>
        <d v="2026-04-12T00:00:00"/>
        <d v="2025-08-30T00:00:00"/>
        <d v="2026-11-18T00:00:00"/>
        <d v="2026-07-24T00:00:00"/>
        <d v="2026-10-21T00:00:00"/>
        <d v="2025-09-28T00:00:00"/>
        <d v="2026-11-24T00:00:00"/>
        <d v="2026-05-16T00:00:00"/>
        <d v="2026-12-30T00:00:00"/>
        <d v="2025-11-06T00:00:00"/>
        <d v="2026-10-28T00:00:00"/>
        <d v="2025-01-09T00:00:00"/>
        <d v="2026-01-25T00:00:00"/>
        <d v="2026-07-21T00:00:00"/>
        <d v="2026-07-03T00:00:00"/>
        <d v="2025-01-24T00:00:00"/>
        <d v="2026-06-04T00:00:00"/>
        <d v="2026-03-25T00:00:00"/>
        <d v="2025-12-27T00:00:00"/>
        <d v="2025-07-23T00:00:00"/>
        <d v="2025-10-20T00:00:00"/>
        <d v="2026-05-05T00:00:00"/>
        <d v="2026-03-03T00:00:00"/>
        <d v="2025-05-09T00:00:00"/>
        <d v="2026-06-22T00:00:00"/>
        <d v="2026-01-16T00:00:00"/>
        <d v="2026-03-31T00:00:00"/>
        <d v="2025-04-12T00:00:00"/>
        <d v="2025-01-12T00:00:00"/>
        <d v="2026-02-11T00:00:00"/>
        <d v="2026-01-08T00:00:00"/>
        <d v="2025-09-20T00:00:00"/>
        <d v="2026-01-20T00:00:00"/>
        <d v="2025-01-10T00:00:00"/>
        <d v="2026-11-07T00:00:00"/>
        <d v="2026-10-17T00:00:00"/>
        <d v="2026-10-20T00:00:00"/>
        <d v="2025-06-16T00:00:00"/>
        <d v="2026-07-15T00:00:00"/>
        <d v="2025-10-14T00:00:00"/>
        <d v="2026-09-19T00:00:00"/>
        <d v="2025-06-29T00:00:00"/>
        <d v="2026-08-17T00:00:00"/>
        <d v="2026-04-11T00:00:00"/>
        <d v="2025-08-26T00:00:00"/>
        <d v="2025-12-25T00:00:00"/>
        <d v="2025-06-04T00:00:00"/>
        <d v="2026-05-12T00:00:00"/>
        <d v="2026-03-12T00:00:00"/>
        <d v="2025-04-07T00:00:00"/>
        <d v="2025-06-22T00:00:00"/>
        <d v="2026-01-17T00:00:00"/>
        <d v="2025-05-04T00:00:00"/>
        <d v="2026-09-23T00:00:00"/>
        <d v="2026-10-25T00:00:00"/>
        <d v="2026-08-30T00:00:00"/>
        <d v="2025-04-18T00:00:00"/>
        <d v="2026-05-15T00:00:00"/>
        <d v="2025-03-11T00:00:00"/>
        <d v="2026-11-29T00:00:00"/>
        <d v="2025-03-17T00:00:00"/>
        <d v="2025-10-30T00:00:00"/>
        <d v="2026-09-22T00:00:00"/>
        <d v="2025-02-18T00:00:00"/>
        <d v="2025-07-01T00:00:00"/>
        <d v="2025-08-16T00:00:00"/>
        <d v="2026-11-03T00:00:00"/>
        <d v="2026-08-22T00:00:00"/>
        <d v="2026-05-09T00:00:00"/>
        <d v="2026-09-29T00:00:00"/>
        <d v="2025-02-01T00:00:00"/>
        <d v="2026-05-23T00:00:00"/>
        <d v="2026-11-19T00:00:00"/>
        <d v="2025-04-19T00:00:00"/>
        <d v="2025-09-05T00:00:00"/>
        <d v="2026-06-17T00:00:00"/>
        <d v="2025-07-29T00:00:00"/>
        <d v="2026-03-02T00:00:00"/>
        <d v="2026-02-02T00:00:00"/>
        <d v="2025-11-30T00:00:00"/>
        <d v="2025-03-03T00:00:00"/>
        <d v="2025-07-20T00:00:00"/>
        <d v="2025-06-23T00:00:00"/>
        <d v="2025-05-12T00:00:00"/>
        <d v="2026-08-07T00:00:00"/>
        <d v="2025-04-03T00:00:00"/>
        <d v="2025-07-09T00:00:00"/>
        <d v="2025-12-10T00:00:00"/>
        <d v="2025-11-29T00:00:00"/>
        <d v="2026-08-25T00:00:00"/>
        <d v="2026-07-05T00:00:00"/>
        <d v="2026-03-14T00:00:00"/>
        <d v="2025-07-14T00:00:00"/>
        <d v="2025-10-17T00:00:00"/>
        <d v="2026-04-24T00:00:00"/>
        <d v="2026-03-10T00:00:00"/>
        <d v="2025-09-19T00:00:00"/>
        <d v="2026-05-14T00:00:00"/>
        <d v="2025-08-02T00:00:00"/>
        <d v="2026-11-16T00:00:00"/>
        <d v="2026-12-16T00:00:00"/>
        <d v="2025-06-12T00:00:00"/>
        <d v="2025-12-24T00:00:00"/>
        <d v="2026-09-24T00:00:00"/>
        <d v="2025-12-03T00:00:00"/>
        <d v="2025-01-22T00:00:00"/>
        <d v="2026-12-17T00:00:00"/>
        <d v="2025-05-21T00:00:00"/>
        <d v="2025-06-24T00:00:00"/>
        <d v="2025-04-10T00:00:00"/>
        <d v="2026-06-24T00:00:00"/>
        <d v="2025-02-22T00:00:00"/>
        <d v="2026-09-06T00:00:00"/>
        <d v="2025-11-03T00:00:00"/>
        <d v="2026-04-01T00:00:00"/>
        <d v="2025-05-02T00:00:00"/>
        <d v="2026-09-12T00:00:00"/>
        <d v="2025-06-05T00:00:00"/>
        <d v="2026-10-15T00:00:00"/>
        <d v="2026-02-08T00:00:00"/>
        <d v="2025-11-20T00:00:00"/>
        <d v="2025-07-12T00:00:00"/>
        <d v="2026-02-07T00:00:00"/>
        <d v="2026-07-07T00:00:00"/>
        <d v="2025-07-08T00:00:00"/>
        <d v="2026-08-04T00:00:00"/>
        <d v="2025-12-08T00:00:00"/>
        <d v="2026-06-21T00:00:00"/>
        <d v="2026-10-23T00:00:00"/>
        <d v="2025-03-29T00:00:00"/>
        <d v="2026-04-19T00:00:00"/>
        <d v="2026-12-29T00:00:00"/>
        <d v="2026-04-28T00:00:00"/>
        <d v="2026-06-03T00:00:00"/>
        <d v="2025-10-10T00:00:00"/>
        <d v="2025-11-14T00:00:00"/>
        <d v="2026-05-29T00:00:00"/>
        <d v="2026-08-19T00:00:00"/>
        <d v="2026-03-19T00:00:00"/>
        <d v="2026-07-14T00:00:00"/>
        <d v="2025-08-25T00:00:00"/>
        <d v="2026-05-08T00:00:00"/>
        <d v="2025-10-23T00:00:00"/>
        <d v="2026-03-21T00:00:00"/>
        <d v="2026-10-24T00:00:00"/>
        <d v="2025-01-03T00:00:00"/>
        <d v="2026-09-13T00:00:00"/>
        <d v="2025-11-15T00:00:00"/>
        <d v="2025-02-14T00:00:00"/>
        <d v="2026-02-20T00:00:00"/>
        <d v="2026-07-13T00:00:00"/>
        <d v="2025-10-09T00:00:00"/>
        <d v="2025-06-20T00:00:00"/>
        <d v="2025-05-19T00:00:00"/>
        <d v="2025-08-23T00:00:00"/>
        <d v="2026-03-05T00:00:00"/>
        <d v="2026-03-18T00:00:00"/>
        <d v="2025-09-24T00:00:00"/>
        <d v="2026-12-31T00:00:00"/>
        <d v="2026-11-09T00:00:00"/>
        <d v="2026-08-09T00:00:00"/>
        <d v="2026-11-08T00:00:00"/>
        <d v="2025-10-03T00:00:00"/>
        <d v="2026-07-27T00:00:00"/>
        <d v="2026-07-16T00:00:00"/>
        <d v="2025-09-17T00:00:00"/>
        <d v="2026-01-10T00:00:00"/>
        <d v="2025-05-24T00:00:00"/>
        <d v="2025-12-26T00:00:00"/>
        <d v="2026-05-31T00:00:00"/>
        <d v="2025-12-21T00:00:00"/>
        <d v="2025-03-23T00:00:00"/>
        <d v="2026-12-21T00:00:00"/>
        <d v="2026-12-03T00:00:00"/>
        <d v="2025-11-24T00:00:00"/>
        <d v="2025-01-13T00:00:00"/>
        <d v="2025-05-20T00:00:00"/>
        <d v="2026-12-13T00:00:00"/>
        <d v="2025-09-26T00:00:00"/>
        <d v="2025-07-30T00:00:00"/>
        <d v="2025-12-17T00:00:00"/>
        <d v="2026-03-09T00:00:00"/>
        <d v="2025-01-19T00:00:00"/>
        <d v="2025-11-13T00:00:00"/>
        <d v="2026-08-06T00:00:00"/>
        <d v="2026-02-28T00:00:00"/>
        <d v="2026-03-28T00:00:00"/>
        <d v="2026-05-30T00:00:00"/>
        <d v="2026-03-24T00:00:00"/>
        <d v="2026-03-07T00:00:00"/>
        <d v="2026-11-23T00:00:00"/>
        <d v="2026-01-23T00:00:00"/>
        <d v="2025-10-15T00:00:00"/>
        <d v="2025-12-07T00:00:00"/>
        <d v="2026-09-10T00:00:00"/>
        <d v="2026-08-24T00:00:00"/>
        <d v="2025-04-06T00:00:00"/>
        <d v="2025-04-14T00:00:00"/>
        <d v="2026-05-10T00:00:00"/>
        <d v="2026-07-12T00:00:00"/>
        <d v="2025-05-11T00:00:00"/>
        <d v="2026-01-02T00:00:00"/>
        <d v="2025-08-05T00:00:00"/>
        <d v="2025-06-18T00:00:00"/>
        <d v="2026-10-06T00:00:00"/>
        <d v="2026-09-27T00:00:00"/>
        <d v="2025-04-08T00:00:00"/>
        <d v="2025-05-03T00:00:00"/>
        <d v="2025-11-23T00:00:00"/>
        <d v="2026-01-04T00:00:00"/>
        <d v="2026-04-13T00:00:00"/>
        <d v="2025-02-04T00:00:00"/>
        <d v="2025-10-02T00:00:00"/>
        <d v="2025-05-15T00:00:00"/>
        <d v="2025-12-09T00:00:00"/>
        <d v="2025-03-16T00:00:00"/>
        <d v="2026-06-05T00:00:00"/>
        <d v="2025-07-11T00:00:00"/>
        <d v="2025-07-02T00:00:00"/>
        <d v="2026-03-15T00:00:00"/>
        <d v="2025-07-19T00:00:00"/>
        <d v="2026-05-17T00:00:00"/>
        <d v="2025-09-13T00:00:00"/>
        <d v="2026-12-05T00:00:00"/>
        <d v="2025-10-18T00:00:00"/>
        <d v="2026-08-16T00:00:00"/>
        <d v="2025-05-05T00:00:00"/>
        <d v="2026-04-17T00:00:00"/>
        <d v="2025-02-21T00:00:00"/>
        <d v="2026-06-16T00:00:00"/>
        <d v="2025-10-13T00:00:00"/>
        <d v="2025-07-26T00:00:00"/>
        <d v="2026-12-11T00:00:00"/>
        <d v="2026-09-09T00:00:00"/>
        <d v="2025-03-15T00:00:00"/>
        <d v="2025-06-03T00:00:00"/>
        <d v="2026-10-05T00:00:00"/>
        <d v="2025-03-31T00:00:00"/>
        <d v="2026-08-01T00:00:00"/>
        <d v="2025-11-18T00:00:00"/>
        <d v="2026-06-19T00:00:00"/>
        <d v="2026-01-27T00:00:00"/>
        <d v="2025-04-30T00:00:00"/>
        <d v="2025-10-25T00:00:00"/>
        <d v="2026-06-14T00:00:00"/>
        <d v="2025-07-07T00:00:00"/>
        <d v="2025-02-09T00:00:00"/>
        <d v="2026-02-13T00:00:00"/>
        <d v="2026-04-27T00:00:00"/>
        <d v="2026-07-22T00:00:00"/>
        <d v="2025-01-04T00:00:00"/>
        <d v="2026-05-25T00:00:00"/>
        <d v="2026-05-28T00:00:00"/>
        <d v="2025-03-21T00:00:00"/>
        <d v="2026-09-28T00:00:00"/>
        <d v="2025-05-25T00:00:00"/>
        <d v="2025-01-07T00:00:00"/>
        <d v="2025-09-23T00:00:00"/>
        <d v="2026-07-06T00:00:00"/>
        <d v="2025-07-17T00:00:00"/>
        <d v="2025-02-11T00:00:00"/>
        <d v="2025-03-22T00:00:00"/>
        <d v="2025-01-14T00:00:00"/>
        <d v="2025-09-09T00:00:00"/>
        <d v="2025-12-23T00:00:00"/>
        <d v="2026-03-17T00:00:00"/>
        <d v="2025-06-15T00:00:00"/>
        <d v="2025-02-12T00:00:00"/>
        <d v="2025-12-12T00:00:00"/>
        <d v="2026-06-09T00:00:00"/>
        <d v="2025-09-06T00:00:00"/>
        <d v="2026-07-31T00:00:00"/>
        <d v="2026-05-07T00:00:00"/>
        <d v="2026-08-14T00:00:00"/>
        <d v="2025-12-22T00:00:00"/>
        <d v="2026-09-07T00:00:00"/>
        <d v="2025-06-25T00:00:00"/>
        <d v="2025-08-17T00:00:00"/>
        <d v="2025-05-23T00:00:00"/>
        <d v="2025-11-16T00:00:00"/>
        <d v="2025-04-24T00:00:00"/>
        <d v="2025-12-18T00:00:00"/>
        <d v="2026-03-30T00:00:00"/>
        <d v="2026-04-29T00:00:00"/>
        <d v="2026-06-08T00:00:00"/>
        <d v="2025-01-18T00:00:00"/>
        <d v="2026-10-14T00:00:00"/>
        <d v="2025-03-20T00:00:00"/>
        <d v="2026-03-08T00:00:00"/>
        <d v="2025-04-01T00:00:00"/>
        <d v="2026-05-11T00:00:00"/>
        <d v="2025-08-20T00:00:00"/>
        <d v="2025-11-19T00:00:00"/>
        <d v="2025-07-24T00:00:00"/>
        <d v="2026-05-13T00:00:00"/>
        <d v="2026-08-12T00:00:00"/>
        <d v="2025-07-05T00:00:00"/>
        <d v="2026-12-02T00:00:00"/>
        <d v="2026-02-04T00:00:00"/>
        <d v="2025-05-14T00:00:00"/>
        <d v="2026-05-27T00:00:00"/>
        <d v="2026-04-25T00:00:00"/>
        <d v="2026-11-05T00:00:00"/>
        <d v="2026-06-23T00:00:00"/>
        <d v="2025-04-15T00:00:00"/>
        <d v="2025-12-15T00:00:00"/>
        <d v="2025-03-28T00:00:00"/>
        <d v="2025-01-08T00:00:00"/>
        <d v="2025-04-25T00:00:00"/>
        <d v="2026-11-20T00:00:00"/>
        <d v="2026-02-19T00:00:00"/>
        <d v="2026-10-27T00:00:00"/>
        <d v="2026-02-26T00:00:00"/>
        <d v="2025-07-27T00:00:00"/>
        <d v="2026-08-31T00:00:00"/>
        <d v="2025-08-09T00:00:00"/>
        <d v="2025-06-26T00:00:00"/>
        <d v="2026-11-14T00:00:00"/>
        <d v="2025-06-02T00:00:00"/>
        <d v="2026-12-08T00:00:00"/>
        <d v="2026-05-18T00:00:00"/>
        <d v="2025-02-25T00:00:00"/>
        <d v="2025-07-21T00:00:00"/>
        <d v="2026-08-29T00:00:00"/>
        <d v="2026-08-23T00:00:00"/>
        <d v="2026-09-20T00:00:00"/>
        <d v="2026-06-25T00:00:00"/>
        <d v="2025-11-04T00:00:00"/>
        <d v="2025-05-30T00:00:00"/>
        <d v="2025-06-14T00:00:00"/>
        <d v="2025-02-06T00:00:00"/>
        <d v="2026-08-05T00:00:00"/>
        <d v="2026-08-20T00:00:00"/>
        <d v="2026-11-25T00:00:00"/>
        <d v="2026-10-13T00:00:00"/>
        <d v="2025-01-20T00:00:00"/>
        <d v="2026-06-11T00:00:00"/>
        <d v="2026-09-15T00:00:00"/>
        <d v="2026-12-12T00:00:00"/>
        <d v="2026-02-23T00:00:00"/>
        <d v="2026-02-25T00:00:00"/>
        <d v="2026-11-06T00:00:00"/>
        <d v="2026-11-13T00:00:00"/>
        <d v="2026-12-18T00:00:00"/>
        <d v="2025-11-17T00:00:00"/>
        <d v="2026-10-26T00:00:00"/>
        <d v="2026-02-03T00:00:00"/>
        <d v="2026-01-28T00:00:00"/>
        <d v="2026-06-12T00:00:00"/>
        <d v="2025-12-05T00:00:00"/>
        <d v="2026-06-27T00:00:00"/>
        <d v="2025-09-14T00:00:00"/>
        <d v="2025-02-17T00:00:00"/>
        <d v="2026-02-17T00:00:00"/>
        <d v="2026-07-09T00:00:00"/>
        <d v="2026-04-18T00:00:00"/>
        <d v="2026-01-14T00:00:00"/>
        <d v="2026-06-07T00:00:00"/>
        <d v="2025-03-09T00:00:00"/>
        <d v="2026-01-22T00:00:00"/>
        <d v="2025-11-22T00:00:00"/>
        <d v="2026-08-03T00:00:00"/>
        <d v="2025-08-19T00:00:00"/>
        <d v="2026-10-16T00:00:00"/>
        <d v="2026-12-22T00:00:00"/>
        <d v="2026-04-10T00:00:00"/>
        <d v="2026-05-03T00:00:00"/>
        <d v="2026-04-26T00:00:00"/>
        <d v="2026-04-23T00:00:00"/>
        <d v="2026-11-26T00:00:00"/>
        <d v="2026-11-02T00:00:00"/>
        <d v="2025-02-28T00:00:00"/>
        <d v="2026-07-28T00:00:00"/>
        <d v="2026-01-26T00:00:00"/>
        <d v="2025-05-26T00:00:00"/>
        <d v="2025-05-31T00:00:00"/>
        <d v="2026-10-31T00:00:00"/>
        <d v="2025-09-21T00:00:00"/>
        <d v="2026-11-01T00:00:00"/>
        <d v="2026-10-04T00:00:00"/>
        <d v="2025-08-22T00:00:00"/>
        <d v="2025-03-12T00:00:00"/>
        <d v="2026-12-06T00:00:00"/>
        <d v="2025-05-13T00:00:00"/>
        <d v="2025-03-18T00:00:00"/>
        <d v="2025-11-28T00:00:00"/>
        <d v="2026-01-01T00:00:00"/>
        <d v="2026-06-30T00:00:00"/>
        <d v="2025-05-29T00:00:00"/>
        <d v="2025-09-01T00:00:00"/>
        <d v="2025-05-08T00:00:00"/>
        <d v="2026-11-28T00:00:00"/>
        <d v="2025-11-21T00:00:00"/>
        <d v="2026-12-10T00:00:00"/>
        <d v="2026-07-11T00:00:00"/>
        <d v="2026-08-11T00:00:00"/>
        <d v="2025-04-09T00:00:00"/>
        <d v="2025-11-05T00:00:00"/>
        <d v="2026-10-30T00:00:00"/>
        <d v="2026-12-24T00:00:00"/>
        <d v="2025-11-26T00:00:00"/>
        <d v="2026-04-20T00:00:00"/>
        <d v="2025-10-11T00:00:00"/>
        <d v="2026-02-24T00:00:00"/>
        <d v="2025-09-02T00:00:00"/>
        <d v="2025-05-01T00:00:00"/>
        <d v="2025-06-06T00:00:00"/>
        <d v="2025-04-05T00:00:00"/>
        <d v="2025-06-10T00:00:00"/>
        <d v="2026-04-14T00:00:00"/>
        <d v="2025-09-04T00:00:00"/>
        <d v="2026-04-07T00:00:00"/>
        <d v="2026-01-19T00:00:00"/>
        <d v="2026-12-26T00:00:00"/>
        <d v="2025-08-18T00:00:00"/>
        <d v="2026-01-21T00:00:00"/>
        <d v="2025-10-16T00:00:00"/>
        <d v="2026-12-23T00:00:00"/>
        <d v="2026-07-18T00:00:00"/>
        <d v="2026-09-25T00:00:00"/>
        <d v="2026-03-27T00:00:00"/>
        <d v="2026-04-15T00:00:00"/>
        <d v="2025-03-04T00:00:00"/>
        <d v="2026-07-23T00:00:00"/>
        <d v="2025-01-01T00:00:00"/>
        <d v="2026-09-18T00:00:00"/>
        <d v="2026-11-17T00:00:00"/>
        <d v="2026-07-10T00:00:00"/>
      </sharedItems>
      <fieldGroup par="18"/>
    </cacheField>
    <cacheField name="Customer Name" numFmtId="0">
      <sharedItems count="286">
        <s v="Riya Singh"/>
        <s v="Rohan Nair"/>
        <s v="Priya Reddy"/>
        <s v="Varun Kumar"/>
        <s v="Arjun Shetty"/>
        <s v="Meera Desai"/>
        <s v="Kavya Nair"/>
        <s v="Varun Iyer"/>
        <s v="Priya Rao"/>
        <s v="Priya Shetty"/>
        <s v="Kavya Iyer"/>
        <s v="Diya Sharma"/>
        <s v="Kavya Patil"/>
        <s v="Aarav Kulkarni"/>
        <s v="Diya Joshi"/>
        <s v="Arjun Kulkarni"/>
        <s v="Riya Kumar"/>
        <s v="Pooja Patil"/>
        <s v="Aarav Gowda"/>
        <s v="Aditya Shetty"/>
        <s v="Aarav Kumar"/>
        <s v="Aditya Desai"/>
        <s v="Sneha Desai"/>
        <s v="Rahul Patil"/>
        <s v="Sanjay Kumar"/>
        <s v="Aditya Patil"/>
        <s v="Sanjay Patil"/>
        <s v="Neha Kumar"/>
        <s v="Kavya Rao"/>
        <s v="Varun Sharma"/>
        <s v="Aditya Sharma"/>
        <s v="Meera Mehta"/>
        <s v="Priya Nair"/>
        <s v="Ananya Sharma"/>
        <s v="Ananya Nair"/>
        <s v="Priya Kumar"/>
        <s v="Kiran Singh"/>
        <s v="Diya Kulkarni"/>
        <s v="Rahul Nair"/>
        <s v="Ananya Verma"/>
        <s v="Pooja Nair"/>
        <s v="Vikram Reddy"/>
        <s v="Diya Nair"/>
        <s v="Ishaan Patil"/>
        <s v="Aarav Patil"/>
        <s v="Aarav Desai"/>
        <s v="Pooja Desai"/>
        <s v="Kavya Mehta"/>
        <s v="Vikram Rao"/>
        <s v="Pooja Mehta"/>
        <s v="Nikhil Kumar"/>
        <s v="Varun Nair"/>
        <s v="Sneha Mehta"/>
        <s v="Kavya Shetty"/>
        <s v="Aditya Rao"/>
        <s v="Ananya Kulkarni"/>
        <s v="Ishaan Kulkarni"/>
        <s v="Aarav Joshi"/>
        <s v="Ananya Iyer"/>
        <s v="Arjun Nair"/>
        <s v="Ananya Reddy"/>
        <s v="Aarav Verma"/>
        <s v="Varun Joshi"/>
        <s v="Sanjay Gowda"/>
        <s v="Rahul Sharma"/>
        <s v="Sneha Joshi"/>
        <s v="Neha Kulkarni"/>
        <s v="Kavya Joshi"/>
        <s v="Neha Sharma"/>
        <s v="Priya Iyer"/>
        <s v="Aarav Reddy"/>
        <s v="Varun Desai"/>
        <s v="Vikram Joshi"/>
        <s v="Vikram Verma"/>
        <s v="Rohan Joshi"/>
        <s v="Riya Iyer"/>
        <s v="Meera Patil"/>
        <s v="Riya Sharma"/>
        <s v="Aditya Reddy"/>
        <s v="Riya Patil"/>
        <s v="Kavya Kulkarni"/>
        <s v="Rohan Rao"/>
        <s v="Rahul Reddy"/>
        <s v="Ananya Mehta"/>
        <s v="Nikhil Joshi"/>
        <s v="Diya Verma"/>
        <s v="Meera Joshi"/>
        <s v="Ishaan Desai"/>
        <s v="Nikhil Iyer"/>
        <s v="Riya Nair"/>
        <s v="Varun Shetty"/>
        <s v="Priya Mehta"/>
        <s v="Vikram Nair"/>
        <s v="Rahul Mehta"/>
        <s v="Sanjay Iyer"/>
        <s v="Arjun Singh"/>
        <s v="Aditya Iyer"/>
        <s v="Rohan Singh"/>
        <s v="Ananya Joshi"/>
        <s v="Aditya Gowda"/>
        <s v="Kiran Sharma"/>
        <s v="Ishaan Nair"/>
        <s v="Ananya Rao"/>
        <s v="Neha Singh"/>
        <s v="Kiran Desai"/>
        <s v="Aditya Joshi"/>
        <s v="Arjun Iyer"/>
        <s v="Meera Kumar"/>
        <s v="Kiran Mehta"/>
        <s v="Nikhil Reddy"/>
        <s v="Meera Verma"/>
        <s v="Meera Rao"/>
        <s v="Ishaan Iyer"/>
        <s v="Riya Kulkarni"/>
        <s v="Diya Patil"/>
        <s v="Riya Reddy"/>
        <s v="Kiran Iyer"/>
        <s v="Rohan Mehta"/>
        <s v="Rohan Gowda"/>
        <s v="Rahul Gowda"/>
        <s v="Ananya Kumar"/>
        <s v="Aditya Kumar"/>
        <s v="Rohan Patil"/>
        <s v="Meera Shetty"/>
        <s v="Ishaan Joshi"/>
        <s v="Arjun Patil"/>
        <s v="Sanjay Kulkarni"/>
        <s v="Kiran Kulkarni"/>
        <s v="Sanjay Rao"/>
        <s v="Priya Desai"/>
        <s v="Kiran Verma"/>
        <s v="Sneha Reddy"/>
        <s v="Kavya Desai"/>
        <s v="Riya Rao"/>
        <s v="Ishaan Mehta"/>
        <s v="Diya Desai"/>
        <s v="Sanjay Desai"/>
        <s v="Nikhil Shetty"/>
        <s v="Kavya Sharma"/>
        <s v="Varun Kulkarni"/>
        <s v="Rahul Shetty"/>
        <s v="Kiran Joshi"/>
        <s v="Sanjay Shetty"/>
        <s v="Rahul Desai"/>
        <s v="Sneha Kumar"/>
        <s v="Riya Joshi"/>
        <s v="Diya Gowda"/>
        <s v="Neha Gowda"/>
        <s v="Ishaan Reddy"/>
        <s v="Neha Joshi"/>
        <s v="Riya Desai"/>
        <s v="Varun Reddy"/>
        <s v="Priya Sharma"/>
        <s v="Sneha Singh"/>
        <s v="Pooja Iyer"/>
        <s v="Varun Rao"/>
        <s v="Kavya Kumar"/>
        <s v="Ishaan Shetty"/>
        <s v="Sanjay Sharma"/>
        <s v="Meera Singh"/>
        <s v="Sneha Verma"/>
        <s v="Diya Reddy"/>
        <s v="Diya Iyer"/>
        <s v="Pooja Verma"/>
        <s v="Priya Kulkarni"/>
        <s v="Vikram Kumar"/>
        <s v="Priya Patil"/>
        <s v="Vikram Patil"/>
        <s v="Ishaan Kumar"/>
        <s v="Arjun Verma"/>
        <s v="Pooja Rao"/>
        <s v="Diya Kumar"/>
        <s v="Riya Verma"/>
        <s v="Neha Verma"/>
        <s v="Sanjay Reddy"/>
        <s v="Rahul Iyer"/>
        <s v="Pooja Kumar"/>
        <s v="Pooja Gowda"/>
        <s v="Aarav Sharma"/>
        <s v="Rahul Rao"/>
        <s v="Sanjay Mehta"/>
        <s v="Pooja Shetty"/>
        <s v="Vikram Kulkarni"/>
        <s v="Neha Nair"/>
        <s v="Vikram Singh"/>
        <s v="Meera Sharma"/>
        <s v="Pooja Joshi"/>
        <s v="Sneha Gowda"/>
        <s v="Rohan Sharma"/>
        <s v="Diya Singh"/>
        <s v="Nikhil Rao"/>
        <s v="Neha Desai"/>
        <s v="Meera Reddy"/>
        <s v="Priya Joshi"/>
        <s v="Ishaan Singh"/>
        <s v="Riya Mehta"/>
        <s v="Sneha Shetty"/>
        <s v="Kiran Gowda"/>
        <s v="Pooja Reddy"/>
        <s v="Rahul Kulkarni"/>
        <s v="Nikhil Patil"/>
        <s v="Sneha Iyer"/>
        <s v="Kiran Nair"/>
        <s v="Vikram Gowda"/>
        <s v="Ishaan Verma"/>
        <s v="Aarav Rao"/>
        <s v="Riya Gowda"/>
        <s v="Rohan Kumar"/>
        <s v="Sanjay Nair"/>
        <s v="Meera Nair"/>
        <s v="Ishaan Gowda"/>
        <s v="Nikhil Verma"/>
        <s v="Aarav Mehta"/>
        <s v="Ananya Gowda"/>
        <s v="Kiran Shetty"/>
        <s v="Pooja Singh"/>
        <s v="Neha Reddy"/>
        <s v="Pooja Sharma"/>
        <s v="Rohan Kulkarni"/>
        <s v="Kiran Rao"/>
        <s v="Aditya Singh"/>
        <s v="Arjun Reddy"/>
        <s v="Arjun Kumar"/>
        <s v="Sneha Patil"/>
        <s v="Ananya Desai"/>
        <s v="Riya Shetty"/>
        <s v="Kavya Singh"/>
        <s v="Neha Mehta"/>
        <s v="Varun Patil"/>
        <s v="Kavya Gowda"/>
        <s v="Aditya Nair"/>
        <s v="Sneha Sharma"/>
        <s v="Nikhil Singh"/>
        <s v="Aditya Mehta"/>
        <s v="Arjun Mehta"/>
        <s v="Arjun Sharma"/>
        <s v="Varun Singh"/>
        <s v="Priya Gowda"/>
        <s v="Rahul Verma"/>
        <s v="Priya Singh"/>
        <s v="Rahul Kumar"/>
        <s v="Vikram Desai"/>
        <s v="Neha Rao"/>
        <s v="Nikhil Gowda"/>
        <s v="Varun Verma"/>
        <s v="Nikhil Desai"/>
        <s v="Rohan Desai"/>
        <s v="Rohan Reddy"/>
        <s v="Kavya Reddy"/>
        <s v="Nikhil Kulkarni"/>
        <s v="Ishaan Sharma"/>
        <s v="Ishaan Rao"/>
        <s v="Nikhil Nair"/>
        <s v="Arjun Joshi"/>
        <s v="Rohan Verma"/>
        <s v="Kiran Patil"/>
        <s v="Pooja Kulkarni"/>
        <s v="Rahul Singh"/>
        <s v="Kiran Kumar"/>
        <s v="Aarav Singh"/>
        <s v="Ananya Patil"/>
        <s v="Vikram Iyer"/>
        <s v="Vikram Shetty"/>
        <s v="Arjun Rao"/>
        <s v="Meera Kulkarni"/>
        <s v="Arjun Gowda"/>
        <s v="Varun Mehta"/>
        <s v="Neha Shetty"/>
        <s v="Diya Rao"/>
        <s v="Ananya Shetty"/>
        <s v="Aarav Iyer"/>
        <s v="Sanjay Verma"/>
        <s v="Aditya Verma"/>
        <s v="Sanjay Joshi"/>
        <s v="Arjun Desai"/>
        <s v="Vikram Mehta"/>
        <s v="Neha Iyer"/>
        <s v="Nikhil Mehta"/>
        <s v="Sneha Nair"/>
        <s v="Kavya Verma"/>
        <s v="Rohan Shetty"/>
        <s v="Varun Gowda"/>
        <s v="Kiran Reddy"/>
        <s v="Aarav Shetty"/>
        <s v="Rohan Iyer"/>
        <s v="Priya Verma"/>
      </sharedItems>
    </cacheField>
    <cacheField name="City" numFmtId="0">
      <sharedItems count="16">
        <s v="Hyderabad"/>
        <s v="Mumbai"/>
        <s v="Lucknow"/>
        <s v="Mysuru"/>
        <s v="Hubballi"/>
        <s v="Kolkata"/>
        <s v="Pune"/>
        <s v="Ahmedabad"/>
        <s v="Indore"/>
        <s v="Jaipur"/>
        <s v="Bhubaneswar"/>
        <s v="Bengaluru"/>
        <s v="Chennai"/>
        <s v="Mangaluru"/>
        <s v="Kochi"/>
        <s v="Delhi"/>
      </sharedItems>
    </cacheField>
    <cacheField name="State" numFmtId="0">
      <sharedItems count="12">
        <s v="Telangana"/>
        <s v="Maharashtra"/>
        <s v="Uttar Pradesh"/>
        <s v="Karnataka"/>
        <s v="West Bengal"/>
        <s v="Gujarat"/>
        <s v="Madhya Pradesh"/>
        <s v="Rajasthan"/>
        <s v="Odisha"/>
        <s v="Tamil Nadu"/>
        <s v="Kerala"/>
        <s v="Delhi"/>
      </sharedItems>
    </cacheField>
    <cacheField name="Region" numFmtId="0">
      <sharedItems count="5">
        <s v="South"/>
        <s v="West"/>
        <s v="North"/>
        <s v="East"/>
        <s v="Central"/>
      </sharedItems>
    </cacheField>
    <cacheField name="Category" numFmtId="0">
      <sharedItems count="5">
        <s v="Home Appliances"/>
        <s v="Electronics"/>
        <s v="Clothing"/>
        <s v="Office Supplies"/>
        <s v="Furniture"/>
      </sharedItems>
    </cacheField>
    <cacheField name="Sub-Category" numFmtId="0">
      <sharedItems/>
    </cacheField>
    <cacheField name="Product Name" numFmtId="0">
      <sharedItems count="22">
        <s v="Vacuum Cleaner"/>
        <s v="OnePlus Nord"/>
        <s v="Bluetooth Keyboard"/>
        <s v="Handbag"/>
        <s v="Kurti"/>
        <s v="Notebook Pack"/>
        <s v="Samsung Galaxy A55"/>
        <s v="Office Work Desk"/>
        <s v="Mixer Grinder"/>
        <s v="Ergonomic Office Chair"/>
        <s v="Executive Chair"/>
        <s v="Jeans"/>
        <s v="A4 Copy Paper Box"/>
        <s v="Air Cooler"/>
        <s v="Filing Cabinet"/>
        <s v="Premium Pens"/>
        <s v="Wireless Mouse"/>
        <s v="Dell Inspiron Laptop"/>
        <s v="Electric Kettle"/>
        <s v="HP 15s Laptop"/>
        <s v="Desk Organizer"/>
        <s v="Formal Shirt"/>
      </sharedItems>
    </cacheField>
    <cacheField name="Sales" numFmtId="4">
      <sharedItems containsSemiMixedTypes="0" containsString="0" containsNumber="1" minValue="255" maxValue="348000" count="330">
        <n v="21675"/>
        <n v="171000"/>
        <n v="5130"/>
        <n v="11220"/>
        <n v="3960"/>
        <n v="6480"/>
        <n v="1620"/>
        <n v="96900"/>
        <n v="51750"/>
        <n v="4860"/>
        <n v="18900"/>
        <n v="40500"/>
        <n v="53125"/>
        <n v="11875"/>
        <n v="1920"/>
        <n v="9600"/>
        <n v="12500"/>
        <n v="21080"/>
        <n v="855"/>
        <n v="427.5"/>
        <n v="12240"/>
        <n v="3420"/>
        <n v="8640"/>
        <n v="34000"/>
        <n v="51000"/>
        <n v="59375"/>
        <n v="21420"/>
        <n v="3060"/>
        <n v="24225"/>
        <n v="348000"/>
        <n v="147900"/>
        <n v="270"/>
        <n v="2025"/>
        <n v="2160"/>
        <n v="1710"/>
        <n v="67500"/>
        <n v="7650"/>
        <n v="4320"/>
        <n v="36125"/>
        <n v="6120"/>
        <n v="810"/>
        <n v="3240"/>
        <n v="21000"/>
        <n v="296400"/>
        <n v="1800"/>
        <n v="27000"/>
        <n v="63750"/>
        <n v="16740"/>
        <n v="38250"/>
        <n v="45900"/>
        <n v="9120"/>
        <n v="1425"/>
        <n v="197600"/>
        <n v="12600"/>
        <n v="10800"/>
        <n v="1105"/>
        <n v="22500"/>
        <n v="900"/>
        <n v="31875"/>
        <n v="10200"/>
        <n v="45000"/>
        <n v="3200"/>
        <n v="8100"/>
        <n v="43350"/>
        <n v="48875"/>
        <n v="104400"/>
        <n v="10260"/>
        <n v="1530"/>
        <n v="3087.5"/>
        <n v="48450"/>
        <n v="617.5"/>
        <n v="1950"/>
        <n v="6840"/>
        <n v="21375"/>
        <n v="165300"/>
        <n v="12400"/>
        <n v="19950"/>
        <n v="2295"/>
        <n v="42500"/>
        <n v="108300"/>
        <n v="81000"/>
        <n v="9720"/>
        <n v="1170"/>
        <n v="4590"/>
        <n v="156600"/>
        <n v="9775"/>
        <n v="37500"/>
        <n v="22320"/>
        <n v="5610"/>
        <n v="7680"/>
        <n v="127500"/>
        <n v="382.5"/>
        <n v="228000"/>
        <n v="232000"/>
        <n v="1500"/>
        <n v="600"/>
        <n v="36100"/>
        <n v="3825"/>
        <n v="8550"/>
        <n v="4200"/>
        <n v="44200"/>
        <n v="24000"/>
        <n v="50000"/>
        <n v="5940"/>
        <n v="1520"/>
        <n v="75000"/>
        <n v="12000"/>
        <n v="1282.5"/>
        <n v="83200"/>
        <n v="57000"/>
        <n v="4560"/>
        <n v="4080"/>
        <n v="7200"/>
        <n v="20700"/>
        <n v="4275"/>
        <n v="1440"/>
        <n v="7140"/>
        <n v="2700"/>
        <n v="180000"/>
        <n v="1140"/>
        <n v="3510"/>
        <n v="108000"/>
        <n v="71250"/>
        <n v="58000"/>
        <n v="6080"/>
        <n v="11000"/>
        <n v="76000"/>
        <n v="15960"/>
        <n v="1235"/>
        <n v="1360"/>
        <n v="140400"/>
        <n v="360"/>
        <n v="23750"/>
        <n v="1200"/>
        <n v="116000"/>
        <n v="1852.5"/>
        <n v="187200"/>
        <n v="25500"/>
        <n v="34200"/>
        <n v="52000"/>
        <n v="3250"/>
        <n v="10540"/>
        <n v="2200"/>
        <n v="5400"/>
        <n v="1980"/>
        <n v="60800"/>
        <n v="3705"/>
        <n v="24800"/>
        <n v="5760"/>
        <n v="1755"/>
        <n v="96000"/>
        <n v="2400"/>
        <n v="129200"/>
        <n v="1870"/>
        <n v="65550"/>
        <n v="1215"/>
        <n v="9200"/>
        <n v="9900"/>
        <n v="56250"/>
        <n v="960"/>
        <n v="11250"/>
        <n v="23940"/>
        <n v="7600"/>
        <n v="102000"/>
        <n v="2880"/>
        <n v="3600"/>
        <n v="540"/>
        <n v="38000"/>
        <n v="37200"/>
        <n v="8160"/>
        <n v="9180"/>
        <n v="11780"/>
        <n v="765"/>
        <n v="14280"/>
        <n v="216600"/>
        <n v="3040"/>
        <n v="11880"/>
        <n v="98800"/>
        <n v="7560"/>
        <n v="54625"/>
        <n v="14450"/>
        <n v="27900"/>
        <n v="46800"/>
        <n v="1912.5"/>
        <n v="405"/>
        <n v="234000"/>
        <n v="21250"/>
        <n v="2600"/>
        <n v="32775"/>
        <n v="33750"/>
        <n v="8075"/>
        <n v="15120"/>
        <n v="285"/>
        <n v="1147.5"/>
        <n v="62100"/>
        <n v="27200"/>
        <n v="176800"/>
        <n v="142500"/>
        <n v="7980"/>
        <n v="510"/>
        <n v="11400"/>
        <n v="41400"/>
        <n v="1657.5"/>
        <n v="450"/>
        <n v="8400"/>
        <n v="1350"/>
        <n v="14250"/>
        <n v="16150"/>
        <n v="68400"/>
        <n v="2470"/>
        <n v="25200"/>
        <n v="205200"/>
        <n v="22680"/>
        <n v="35625"/>
        <n v="6200"/>
        <n v="12750"/>
        <n v="161500"/>
        <n v="148200"/>
        <n v="62500"/>
        <n v="2210"/>
        <n v="5580"/>
        <n v="190000"/>
        <n v="174000"/>
        <n v="208800"/>
        <n v="7920"/>
        <n v="14400"/>
        <n v="34500"/>
        <n v="114000"/>
        <n v="12540"/>
        <n v="10625"/>
        <n v="11970"/>
        <n v="85500"/>
        <n v="121600"/>
        <n v="25000"/>
        <n v="10350"/>
        <n v="32300"/>
        <n v="7225"/>
        <n v="7500"/>
        <n v="2090"/>
        <n v="29325"/>
        <n v="11340"/>
        <n v="3990"/>
        <n v="2565"/>
        <n v="2280"/>
        <n v="35340"/>
        <n v="10450"/>
        <n v="295800"/>
        <n v="23560"/>
        <n v="49300"/>
        <n v="2762.5"/>
        <n v="31050"/>
        <n v="1020"/>
        <n v="197200"/>
        <n v="9000"/>
        <n v="4800"/>
        <n v="13600"/>
        <n v="2430"/>
        <n v="102600"/>
        <n v="12960"/>
        <n v="16800"/>
        <n v="2040"/>
        <n v="28900"/>
        <n v="13680"/>
        <n v="10925"/>
        <n v="255"/>
        <n v="585"/>
        <n v="650"/>
        <n v="144400"/>
        <n v="13500"/>
        <n v="265200"/>
        <n v="49400"/>
        <n v="1600"/>
        <n v="92800"/>
        <n v="40375"/>
        <n v="5890"/>
        <n v="57500"/>
        <n v="42750"/>
        <n v="6270"/>
        <n v="3740"/>
        <n v="52200"/>
        <n v="300"/>
        <n v="88400"/>
        <n v="58650"/>
        <n v="120000"/>
        <n v="8000"/>
        <n v="330600"/>
        <n v="280800"/>
        <n v="7125"/>
        <n v="5440"/>
        <n v="480"/>
        <n v="208000"/>
        <n v="220400"/>
        <n v="18600"/>
        <n v="21850"/>
        <n v="1300"/>
        <n v="55100"/>
        <n v="2340"/>
        <n v="150000"/>
        <n v="2080"/>
        <n v="30600"/>
        <n v="15810"/>
        <n v="135000"/>
        <n v="153000"/>
        <n v="64600"/>
        <n v="98600"/>
        <n v="6750"/>
        <n v="17850"/>
        <n v="30000"/>
        <n v="3780"/>
        <n v="4050"/>
        <n v="261000"/>
        <n v="136800"/>
        <n v="22950"/>
        <n v="28500"/>
        <n v="19840"/>
        <n v="11160"/>
        <n v="33480"/>
        <n v="9350"/>
        <n v="6800"/>
        <n v="4500"/>
        <n v="13200"/>
        <n v="7480"/>
        <n v="20250"/>
        <n v="275500"/>
        <n v="5270"/>
        <n v="15000"/>
        <n v="312000"/>
        <n v="46000"/>
        <n v="54000"/>
        <n v="4400"/>
      </sharedItems>
    </cacheField>
    <cacheField name="Quantity" numFmtId="0">
      <sharedItems containsSemiMixedTypes="0" containsString="0" containsNumber="1" containsInteger="1" minValue="1" maxValue="6"/>
    </cacheField>
    <cacheField name="Discount" numFmtId="4">
      <sharedItems containsSemiMixedTypes="0" containsString="0" containsNumber="1" minValue="0" maxValue="0.2"/>
    </cacheField>
    <cacheField name="Profit" numFmtId="4">
      <sharedItems containsSemiMixedTypes="0" containsString="0" containsNumber="1" minValue="27.17" maxValue="80971.039999999994" count="999">
        <n v="4013.83"/>
        <n v="19314.099999999999"/>
        <n v="1394.4"/>
        <n v="1480.57"/>
        <n v="523.28"/>
        <n v="1675.01"/>
        <n v="206.12"/>
        <n v="7939.21"/>
        <n v="10020.84"/>
        <n v="778.83"/>
        <n v="2006.87"/>
        <n v="4638.18"/>
        <n v="3518.43"/>
        <n v="1059.3599999999999"/>
        <n v="290.97000000000003"/>
        <n v="1477.74"/>
        <n v="2270.5"/>
        <n v="3040.75"/>
        <n v="91.98"/>
        <n v="93.28"/>
        <n v="3218.8"/>
        <n v="761.73"/>
        <n v="1289.32"/>
        <n v="7109.21"/>
        <n v="13988.69"/>
        <n v="10353.07"/>
        <n v="9510.4"/>
        <n v="5257.14"/>
        <n v="373.22"/>
        <n v="321.93"/>
        <n v="2254.4899999999998"/>
        <n v="40567.47"/>
        <n v="10891"/>
        <n v="1601"/>
        <n v="55.52"/>
        <n v="525.35"/>
        <n v="313.77"/>
        <n v="458.75"/>
        <n v="7824.66"/>
        <n v="1148.8599999999999"/>
        <n v="698.79"/>
        <n v="9118.34"/>
        <n v="1430.89"/>
        <n v="193.45"/>
        <n v="488.53"/>
        <n v="11216.11"/>
        <n v="5422.8"/>
        <n v="80971.039999999994"/>
        <n v="310.93"/>
        <n v="3452.21"/>
        <n v="5173.2"/>
        <n v="1461.97"/>
        <n v="8133.99"/>
        <n v="52.66"/>
        <n v="1620.38"/>
        <n v="12164.04"/>
        <n v="1630.04"/>
        <n v="273.2"/>
        <n v="1784.74"/>
        <n v="29212.57"/>
        <n v="1535.56"/>
        <n v="1151.53"/>
        <n v="228.56"/>
        <n v="188.83"/>
        <n v="2674.98"/>
        <n v="217.06"/>
        <n v="7396.46"/>
        <n v="1071.55"/>
        <n v="7930.26"/>
        <n v="344.85"/>
        <n v="2112.9299999999998"/>
        <n v="6773.16"/>
        <n v="8202.84"/>
        <n v="9559.66"/>
        <n v="199.17"/>
        <n v="23479.34"/>
        <n v="344.41"/>
        <n v="1694.59"/>
        <n v="8967.5"/>
        <n v="246.28"/>
        <n v="695.68"/>
        <n v="1092.18"/>
        <n v="5690.95"/>
        <n v="84.91"/>
        <n v="458.46"/>
        <n v="878.45"/>
        <n v="4526.8"/>
        <n v="35981.660000000003"/>
        <n v="1204.06"/>
        <n v="2543.35"/>
        <n v="375.31"/>
        <n v="322.57"/>
        <n v="381.44"/>
        <n v="4563.53"/>
        <n v="196.28"/>
        <n v="23806.89"/>
        <n v="6506.04"/>
        <n v="2558.9899999999998"/>
        <n v="1421.83"/>
        <n v="490.74"/>
        <n v="315.10000000000002"/>
        <n v="708.75"/>
        <n v="21254.9"/>
        <n v="1878.54"/>
        <n v="3071.14"/>
        <n v="2715.24"/>
        <n v="284.99"/>
        <n v="1454.04"/>
        <n v="111.69"/>
        <n v="743.84"/>
        <n v="380.27"/>
        <n v="444.84"/>
        <n v="34408.720000000001"/>
        <n v="84.96"/>
        <n v="58442.65"/>
        <n v="8868.7900000000009"/>
        <n v="56546.73"/>
        <n v="401.17"/>
        <n v="150.29"/>
        <n v="6186.7"/>
        <n v="1277.97"/>
        <n v="877.85"/>
        <n v="2116.5500000000002"/>
        <n v="4666.88"/>
        <n v="2084.04"/>
        <n v="1738.7"/>
        <n v="815.56"/>
        <n v="3387.22"/>
        <n v="1846.07"/>
        <n v="979.94"/>
        <n v="12717.84"/>
        <n v="3156.46"/>
        <n v="142.18"/>
        <n v="286.39"/>
        <n v="1152.25"/>
        <n v="379.12"/>
        <n v="106.47"/>
        <n v="41941.69"/>
        <n v="6550.07"/>
        <n v="3328.06"/>
        <n v="229.23"/>
        <n v="15054.04"/>
        <n v="11818.2"/>
        <n v="363.81"/>
        <n v="929.68"/>
        <n v="1540.11"/>
        <n v="379.09"/>
        <n v="7311.59"/>
        <n v="1588.02"/>
        <n v="2584.77"/>
        <n v="407.64"/>
        <n v="322.83"/>
        <n v="1114.55"/>
        <n v="1805.69"/>
        <n v="6204.21"/>
        <n v="165.06"/>
        <n v="364.25"/>
        <n v="40476.199999999997"/>
        <n v="63.34"/>
        <n v="160.46"/>
        <n v="929.35"/>
        <n v="16233.15"/>
        <n v="16441.43"/>
        <n v="15508.71"/>
        <n v="1599.27"/>
        <n v="139.04"/>
        <n v="246.05"/>
        <n v="160.55000000000001"/>
        <n v="2205.62"/>
        <n v="16644.54"/>
        <n v="7187.39"/>
        <n v="3296.44"/>
        <n v="1193.53"/>
        <n v="79.67"/>
        <n v="274.89999999999998"/>
        <n v="317.06"/>
        <n v="90.31"/>
        <n v="32905.89"/>
        <n v="4258.08"/>
        <n v="73.17"/>
        <n v="456.8"/>
        <n v="3557.11"/>
        <n v="200.92"/>
        <n v="250.18"/>
        <n v="26122.73"/>
        <n v="346.53"/>
        <n v="50987.7"/>
        <n v="3852.46"/>
        <n v="2137.9299999999998"/>
        <n v="241.67"/>
        <n v="4880.04"/>
        <n v="3346.33"/>
        <n v="6454.36"/>
        <n v="3825.79"/>
        <n v="132.03"/>
        <n v="728.57"/>
        <n v="36295.599999999999"/>
        <n v="297.08999999999997"/>
        <n v="1304.6600000000001"/>
        <n v="842.93"/>
        <n v="436.53"/>
        <n v="185.7"/>
        <n v="1196.46"/>
        <n v="323.42"/>
        <n v="13306.25"/>
        <n v="848.63"/>
        <n v="489.18"/>
        <n v="2487.11"/>
        <n v="6725.16"/>
        <n v="126.42"/>
        <n v="743.32"/>
        <n v="163.76"/>
        <n v="22773.68"/>
        <n v="178.1"/>
        <n v="516.57000000000005"/>
        <n v="14237.88"/>
        <n v="411.8"/>
        <n v="10040.83"/>
        <n v="2541.48"/>
        <n v="212.85"/>
        <n v="38667.42"/>
        <n v="1698.4"/>
        <n v="5171.7700000000004"/>
        <n v="815.11"/>
        <n v="10480.11"/>
        <n v="168.25"/>
        <n v="121.83"/>
        <n v="855.28"/>
        <n v="2034.62"/>
        <n v="516.20000000000005"/>
        <n v="1603.13"/>
        <n v="516.66"/>
        <n v="15150.24"/>
        <n v="292.66000000000003"/>
        <n v="591.86"/>
        <n v="425.52"/>
        <n v="62.86"/>
        <n v="6026.6"/>
        <n v="1627.72"/>
        <n v="4247.0200000000004"/>
        <n v="5862.62"/>
        <n v="8655.58"/>
        <n v="892.4"/>
        <n v="552.58000000000004"/>
        <n v="6850.2"/>
        <n v="1072.46"/>
        <n v="13515.12"/>
        <n v="12361.28"/>
        <n v="325.05"/>
        <n v="164.87"/>
        <n v="2290.2800000000002"/>
        <n v="1139.3"/>
        <n v="201.19"/>
        <n v="648.45000000000005"/>
        <n v="1210.73"/>
        <n v="941.41"/>
        <n v="192.62"/>
        <n v="123.55"/>
        <n v="1672.13"/>
        <n v="2719.14"/>
        <n v="1714.47"/>
        <n v="4055.67"/>
        <n v="989.83"/>
        <n v="318.10000000000002"/>
        <n v="1066.81"/>
        <n v="168.87"/>
        <n v="967.35"/>
        <n v="1557.38"/>
        <n v="24187.79"/>
        <n v="308.68"/>
        <n v="76.52"/>
        <n v="1430.97"/>
        <n v="388.63"/>
        <n v="2921.9"/>
        <n v="22521.1"/>
        <n v="1900.89"/>
        <n v="486.51"/>
        <n v="894.65"/>
        <n v="1634.42"/>
        <n v="418.37"/>
        <n v="17529.330000000002"/>
        <n v="839.46"/>
        <n v="10298.01"/>
        <n v="895.25"/>
        <n v="679.26"/>
        <n v="2576.9299999999998"/>
        <n v="2392.23"/>
        <n v="5954.94"/>
        <n v="58288.74"/>
        <n v="346.13"/>
        <n v="1226.8"/>
        <n v="2528.33"/>
        <n v="40.380000000000003"/>
        <n v="4161.8999999999996"/>
        <n v="29310.23"/>
        <n v="12148.57"/>
        <n v="57502.12"/>
        <n v="4145.67"/>
        <n v="218.29"/>
        <n v="3035.51"/>
        <n v="9560.2900000000009"/>
        <n v="493.44"/>
        <n v="5769.78"/>
        <n v="635.55999999999995"/>
        <n v="1362.26"/>
        <n v="484.11"/>
        <n v="106.32"/>
        <n v="5659.67"/>
        <n v="400.21"/>
        <n v="1053.17"/>
        <n v="172.51"/>
        <n v="103.25"/>
        <n v="11795.58"/>
        <n v="2324.65"/>
        <n v="4538.62"/>
        <n v="955.5"/>
        <n v="6025.79"/>
        <n v="2222.4699999999998"/>
        <n v="10329.950000000001"/>
        <n v="1588.32"/>
        <n v="1359.87"/>
        <n v="39.58"/>
        <n v="7731"/>
        <n v="208.36"/>
        <n v="306.82"/>
        <n v="2327.9499999999998"/>
        <n v="167.71"/>
        <n v="6453.05"/>
        <n v="4770.57"/>
        <n v="380.25"/>
        <n v="31384.35"/>
        <n v="29677.33"/>
        <n v="1041.68"/>
        <n v="1416.34"/>
        <n v="132.55000000000001"/>
        <n v="1630.5"/>
        <n v="833.89"/>
        <n v="79.19"/>
        <n v="2992.57"/>
        <n v="3024.12"/>
        <n v="438.91"/>
        <n v="12084.72"/>
        <n v="4445.1499999999996"/>
        <n v="218.84"/>
        <n v="85.92"/>
        <n v="226.34"/>
        <n v="1329.18"/>
        <n v="1691.5"/>
        <n v="738.21"/>
        <n v="1617.61"/>
        <n v="9284.06"/>
        <n v="277.79000000000002"/>
        <n v="16133.62"/>
        <n v="307.89999999999998"/>
        <n v="2127.64"/>
        <n v="2724.36"/>
        <n v="99.18"/>
        <n v="1342.77"/>
        <n v="5342.26"/>
        <n v="1829.76"/>
        <n v="3740.3"/>
        <n v="1174.7"/>
        <n v="35383.97"/>
        <n v="620.24"/>
        <n v="3666.48"/>
        <n v="905.38"/>
        <n v="17714.650000000001"/>
        <n v="638.22"/>
        <n v="622.95000000000005"/>
        <n v="7875.64"/>
        <n v="605.6"/>
        <n v="14423.22"/>
        <n v="2946.55"/>
        <n v="259.39999999999998"/>
        <n v="43262.2"/>
        <n v="241.04"/>
        <n v="236.15"/>
        <n v="4436.66"/>
        <n v="3210.09"/>
        <n v="4460.6099999999997"/>
        <n v="586.4"/>
        <n v="294.36"/>
        <n v="8555.5400000000009"/>
        <n v="8340.2000000000007"/>
        <n v="116.22"/>
        <n v="496.94"/>
        <n v="5847.5"/>
        <n v="1252.27"/>
        <n v="398.14"/>
        <n v="577.46"/>
        <n v="1063.72"/>
        <n v="42863.11"/>
        <n v="11902.57"/>
        <n v="779.26"/>
        <n v="6123.95"/>
        <n v="465.74"/>
        <n v="4872.8"/>
        <n v="14802.42"/>
        <n v="9666.16"/>
        <n v="166.77"/>
        <n v="1075.43"/>
        <n v="7466.61"/>
        <n v="442.07"/>
        <n v="20967.47"/>
        <n v="8787.6299999999992"/>
        <n v="48612.44"/>
        <n v="46721.64"/>
        <n v="1380.95"/>
        <n v="2407.92"/>
        <n v="6992.54"/>
        <n v="1423.93"/>
        <n v="7673.75"/>
        <n v="58.66"/>
        <n v="1165.27"/>
        <n v="3691.33"/>
        <n v="7251.46"/>
        <n v="4483.8599999999997"/>
        <n v="25043.94"/>
        <n v="29494.880000000001"/>
        <n v="5921.4"/>
        <n v="15513.06"/>
        <n v="1969.6"/>
        <n v="1996.81"/>
        <n v="1979.36"/>
        <n v="275.52999999999997"/>
        <n v="1352.69"/>
        <n v="5355.56"/>
        <n v="138.53"/>
        <n v="122.02"/>
        <n v="1367.19"/>
        <n v="37169.699999999997"/>
        <n v="2518.5300000000002"/>
        <n v="589.09"/>
        <n v="389.41"/>
        <n v="119.22"/>
        <n v="465.08"/>
        <n v="19547.52"/>
        <n v="380.45"/>
        <n v="8524.7900000000009"/>
        <n v="239.71"/>
        <n v="5503.93"/>
        <n v="7005.65"/>
        <n v="6190.34"/>
        <n v="6137.49"/>
        <n v="3631.44"/>
        <n v="1291.46"/>
        <n v="9991.58"/>
        <n v="269.76"/>
        <n v="10578.45"/>
        <n v="1123.69"/>
        <n v="5030.24"/>
        <n v="569.89"/>
        <n v="695.64"/>
        <n v="1092.8399999999999"/>
        <n v="819.61"/>
        <n v="466.64"/>
        <n v="5836.86"/>
        <n v="5832.83"/>
        <n v="3038.55"/>
        <n v="7649.28"/>
        <n v="8241.7099999999991"/>
        <n v="1801.84"/>
        <n v="408.13"/>
        <n v="1971.93"/>
        <n v="204.29"/>
        <n v="405.3"/>
        <n v="2039.11"/>
        <n v="163.09"/>
        <n v="494.93"/>
        <n v="9489.5499999999993"/>
        <n v="6657.74"/>
        <n v="6368.92"/>
        <n v="722"/>
        <n v="26490.959999999999"/>
        <n v="463.45"/>
        <n v="1996.39"/>
        <n v="378.5"/>
        <n v="1394.12"/>
        <n v="5373.13"/>
        <n v="12333.76"/>
        <n v="994.51"/>
        <n v="227.15"/>
        <n v="43465.05"/>
        <n v="3941.67"/>
        <n v="10459.07"/>
        <n v="409.6"/>
        <n v="140.94"/>
        <n v="4818.88"/>
        <n v="228.21"/>
        <n v="6809.79"/>
        <n v="240.29"/>
        <n v="11493.69"/>
        <n v="3303.9"/>
        <n v="28117.47"/>
        <n v="49863.5"/>
        <n v="44715.85"/>
        <n v="31553.17"/>
        <n v="194.33"/>
        <n v="143.03"/>
        <n v="938.55"/>
        <n v="13221.83"/>
        <n v="6467.02"/>
        <n v="136.69"/>
        <n v="485.91"/>
        <n v="598.08000000000004"/>
        <n v="394.79"/>
        <n v="3141.58"/>
        <n v="933.56"/>
        <n v="7947.22"/>
        <n v="305.87"/>
        <n v="4870.05"/>
        <n v="13507.25"/>
        <n v="1595.16"/>
        <n v="481.21"/>
        <n v="562.88"/>
        <n v="1068.19"/>
        <n v="577.59"/>
        <n v="5826.17"/>
        <n v="880.22"/>
        <n v="25630.86"/>
        <n v="3081.37"/>
        <n v="2200.87"/>
        <n v="1581.08"/>
        <n v="14977.23"/>
        <n v="211.41"/>
        <n v="54011.07"/>
        <n v="2109.6"/>
        <n v="133.29"/>
        <n v="19922.14"/>
        <n v="13065.99"/>
        <n v="1961.2"/>
        <n v="910.91"/>
        <n v="847.28"/>
        <n v="1191.28"/>
        <n v="6653.61"/>
        <n v="217.87"/>
        <n v="5730.24"/>
        <n v="6202.81"/>
        <n v="59.9"/>
        <n v="2884.62"/>
        <n v="377.39"/>
        <n v="1626.53"/>
        <n v="2973.68"/>
        <n v="29.33"/>
        <n v="12285.59"/>
        <n v="1214.4100000000001"/>
        <n v="475.94"/>
        <n v="285.3"/>
        <n v="105.53"/>
        <n v="2261.4299999999998"/>
        <n v="405.94"/>
        <n v="1361.64"/>
        <n v="74.760000000000005"/>
        <n v="143.78"/>
        <n v="297.68"/>
        <n v="267.88"/>
        <n v="70.16"/>
        <n v="301.54000000000002"/>
        <n v="532.41999999999996"/>
        <n v="2964.69"/>
        <n v="1016.86"/>
        <n v="6336.65"/>
        <n v="364.07"/>
        <n v="16355.87"/>
        <n v="465.8"/>
        <n v="3915.69"/>
        <n v="4963.67"/>
        <n v="36987.449999999997"/>
        <n v="1187.56"/>
        <n v="43774.98"/>
        <n v="2748.57"/>
        <n v="8554.31"/>
        <n v="1781.58"/>
        <n v="152.87"/>
        <n v="49942.44"/>
        <n v="12156.4"/>
        <n v="6284.66"/>
        <n v="362.99"/>
        <n v="17410.53"/>
        <n v="344.46"/>
        <n v="417.87"/>
        <n v="1290.8900000000001"/>
        <n v="442.02"/>
        <n v="3144.04"/>
        <n v="1397.03"/>
        <n v="10824.24"/>
        <n v="10549.4"/>
        <n v="95.85"/>
        <n v="991.78"/>
        <n v="9553.57"/>
        <n v="556.92999999999995"/>
        <n v="43055.93"/>
        <n v="473.49"/>
        <n v="27.17"/>
        <n v="844.26"/>
        <n v="9715.16"/>
        <n v="5096.7299999999996"/>
        <n v="11649.83"/>
        <n v="62"/>
        <n v="56.81"/>
        <n v="1612.8"/>
        <n v="7501.75"/>
        <n v="213"/>
        <n v="13655.8"/>
        <n v="83.05"/>
        <n v="1883.85"/>
        <n v="37162.949999999997"/>
        <n v="6738.41"/>
        <n v="723.87"/>
        <n v="1007.61"/>
        <n v="904.79"/>
        <n v="73.739999999999995"/>
        <n v="26994.89"/>
        <n v="1262.1199999999999"/>
        <n v="724.52"/>
        <n v="373.79"/>
        <n v="7572.28"/>
        <n v="10087.64"/>
        <n v="28187.71"/>
        <n v="862.89"/>
        <n v="1290.4100000000001"/>
        <n v="1345.98"/>
        <n v="1623.26"/>
        <n v="1331.59"/>
        <n v="10450.040000000001"/>
        <n v="9127.9"/>
        <n v="24991"/>
        <n v="8040.29"/>
        <n v="205.97"/>
        <n v="4626.08"/>
        <n v="1493.84"/>
        <n v="36442.6"/>
        <n v="3283.33"/>
        <n v="1335.95"/>
        <n v="15440.09"/>
        <n v="632.44000000000005"/>
        <n v="54.09"/>
        <n v="712.82"/>
        <n v="1777.52"/>
        <n v="485.12"/>
        <n v="686.19"/>
        <n v="79.47"/>
        <n v="1513.72"/>
        <n v="154.59"/>
        <n v="770.31"/>
        <n v="4973.68"/>
        <n v="50132.33"/>
        <n v="579.66"/>
        <n v="20420.46"/>
        <n v="21075.81"/>
        <n v="394.13"/>
        <n v="37.01"/>
        <n v="1395.12"/>
        <n v="1127.46"/>
        <n v="389.73"/>
        <n v="537.37"/>
        <n v="44469.43"/>
        <n v="293.72000000000003"/>
        <n v="2107.7600000000002"/>
        <n v="1072.02"/>
        <n v="548.1"/>
        <n v="5196.57"/>
        <n v="35342.46"/>
        <n v="285.13"/>
        <n v="18131.53"/>
        <n v="2044.43"/>
        <n v="4427.29"/>
        <n v="4108.1400000000003"/>
        <n v="20628.47"/>
        <n v="1972.18"/>
        <n v="212.33"/>
        <n v="2347.12"/>
        <n v="708.8"/>
        <n v="7316.85"/>
        <n v="292.47000000000003"/>
        <n v="17516.349999999999"/>
        <n v="1909.88"/>
        <n v="27804.51"/>
        <n v="8266.3799999999992"/>
        <n v="61.8"/>
        <n v="230.73"/>
        <n v="5089.04"/>
        <n v="4489.01"/>
        <n v="649.11"/>
        <n v="1467.11"/>
        <n v="4428.1499999999996"/>
        <n v="62.06"/>
        <n v="3190.5"/>
        <n v="403.3"/>
        <n v="7018.88"/>
        <n v="537.44000000000005"/>
        <n v="1734.86"/>
        <n v="16663.41"/>
        <n v="13731.78"/>
        <n v="2126.2800000000002"/>
        <n v="1104.57"/>
        <n v="2961.97"/>
        <n v="449.16"/>
        <n v="1306.17"/>
        <n v="11071.61"/>
        <n v="1812.32"/>
        <n v="2199.58"/>
        <n v="70.47"/>
        <n v="1416.63"/>
        <n v="1381.74"/>
        <n v="57115.199999999997"/>
        <n v="27598.97"/>
        <n v="188.46"/>
        <n v="931.17"/>
        <n v="6935.19"/>
        <n v="22533.05"/>
        <n v="319.12"/>
        <n v="10464.42"/>
        <n v="834.17"/>
        <n v="673.11"/>
        <n v="3083.57"/>
        <n v="28473.74"/>
        <n v="1128.96"/>
        <n v="4865.76"/>
        <n v="199.21"/>
        <n v="2473.5"/>
        <n v="997.43"/>
        <n v="5914.43"/>
        <n v="1178.23"/>
        <n v="2604.7199999999998"/>
        <n v="12953.37"/>
        <n v="6247.84"/>
        <n v="7650.63"/>
        <n v="586.1"/>
        <n v="1834.71"/>
        <n v="196.65"/>
        <n v="899.76"/>
        <n v="213.07"/>
        <n v="388.36"/>
        <n v="3103.19"/>
        <n v="83.46"/>
        <n v="397.32"/>
        <n v="8503.7800000000007"/>
        <n v="90.89"/>
        <n v="6097.52"/>
        <n v="413.57"/>
        <n v="43233.34"/>
        <n v="1571.57"/>
        <n v="28587.93"/>
        <n v="40.81"/>
        <n v="245.27"/>
        <n v="901.8"/>
        <n v="1535.28"/>
        <n v="2154"/>
        <n v="12297.2"/>
        <n v="7807.28"/>
        <n v="42466.01"/>
        <n v="3352.25"/>
        <n v="6106.81"/>
        <n v="8807.8700000000008"/>
        <n v="638.88"/>
        <n v="593.74"/>
        <n v="1278.42"/>
        <n v="1768.95"/>
        <n v="785.25"/>
        <n v="7328.26"/>
        <n v="196.41"/>
        <n v="654.65"/>
        <n v="582.1"/>
        <n v="144.29"/>
        <n v="435.06"/>
        <n v="95.17"/>
        <n v="143.25"/>
        <n v="5255.16"/>
        <n v="3090.22"/>
        <n v="758.79"/>
        <n v="2291.36"/>
        <n v="38622.89"/>
        <n v="33733.9"/>
        <n v="2877.08"/>
        <n v="55941.599999999999"/>
        <n v="126.17"/>
        <n v="109.24"/>
        <n v="3644.31"/>
        <n v="14711.8"/>
        <n v="1540.19"/>
        <n v="61724.51"/>
        <n v="5235.25"/>
        <n v="518.17999999999995"/>
        <n v="1577.17"/>
        <n v="296.29000000000002"/>
        <n v="4151.6499999999996"/>
        <n v="2255.34"/>
        <n v="370.88"/>
        <n v="19843.330000000002"/>
        <n v="3964.99"/>
        <n v="11894.34"/>
        <n v="1111.03"/>
        <n v="2394.33"/>
        <n v="1819.1"/>
        <n v="13896.93"/>
        <n v="1656.56"/>
        <n v="250.99"/>
        <n v="1677.01"/>
        <n v="1036.28"/>
        <n v="2819.8"/>
        <n v="2016.96"/>
        <n v="18031.63"/>
        <n v="114.86"/>
        <n v="1586.57"/>
        <n v="1451.45"/>
        <n v="5338.21"/>
        <n v="46789.19"/>
        <n v="6973.75"/>
        <n v="556.46"/>
        <n v="992.76"/>
        <n v="2668.72"/>
        <n v="33888.639999999999"/>
        <n v="1067.8699999999999"/>
        <n v="2170.62"/>
        <n v="1266.69"/>
        <n v="1646.82"/>
        <n v="5343.21"/>
        <n v="7732.71"/>
        <n v="961.51"/>
        <n v="16652.599999999999"/>
        <n v="1481.74"/>
        <n v="1251.08"/>
        <n v="10802.08"/>
        <n v="3823.79"/>
        <n v="711.18"/>
        <n v="373.06"/>
        <n v="68.66"/>
        <n v="54137.32"/>
        <n v="1125.1199999999999"/>
        <n v="2901.4"/>
        <n v="121.64"/>
        <n v="4221.9799999999996"/>
        <n v="1892.29"/>
        <n v="16887.63"/>
        <n v="484.26"/>
        <n v="21983"/>
        <n v="1518.01"/>
        <n v="12194.35"/>
        <n v="5394.67"/>
        <n v="143.72"/>
        <n v="773.05"/>
        <n v="547.08000000000004"/>
        <n v="1539.53"/>
        <n v="2016.18"/>
        <n v="11423.45"/>
        <n v="728.38"/>
        <n v="240.2"/>
        <n v="1953.52"/>
        <n v="677.91"/>
        <n v="800.49"/>
        <n v="7095.3"/>
        <n v="4975.3"/>
        <n v="8878.06"/>
        <n v="1066.51"/>
        <n v="2385.0300000000002"/>
        <n v="3198.06"/>
        <n v="6091.69"/>
        <n v="2243.91"/>
        <n v="964.31"/>
        <n v="388.85"/>
        <n v="1082.8900000000001"/>
        <n v="6516.16"/>
        <n v="6196.04"/>
        <n v="4488.25"/>
        <n v="4956.22"/>
        <n v="803.4"/>
        <n v="590.37"/>
        <n v="2077.75"/>
        <n v="36125.879999999997"/>
        <n v="22934.9"/>
        <n v="5320.11"/>
        <n v="7292.38"/>
        <n v="5713.2"/>
        <n v="359.17"/>
        <n v="5980.52"/>
        <n v="1699.34"/>
        <n v="17991.23"/>
        <n v="1469.22"/>
        <n v="2112.6799999999998"/>
        <n v="2167.36"/>
        <n v="2020"/>
        <n v="22113.79"/>
        <n v="4590.12"/>
        <n v="1055.53"/>
        <n v="1840.26"/>
        <n v="7220.81"/>
        <n v="155.26"/>
        <n v="646.5"/>
        <n v="1305.9100000000001"/>
        <n v="310.45"/>
        <n v="2008.78"/>
        <n v="3232.26"/>
        <n v="1196.93"/>
        <n v="10199.620000000001"/>
        <n v="1216.3599999999999"/>
        <n v="459.01"/>
        <n v="46.69"/>
        <n v="857.8"/>
        <n v="6220.29"/>
        <n v="7352"/>
        <n v="4540.66"/>
        <n v="321.24"/>
        <n v="3132.13"/>
        <n v="954.11"/>
        <n v="1178.51"/>
        <n v="10883.06"/>
        <n v="7477.04"/>
        <n v="44083.67"/>
        <n v="4150.33"/>
        <n v="3968.22"/>
        <n v="1244.6300000000001"/>
        <n v="12330.4"/>
        <n v="3630.67"/>
        <n v="1779.14"/>
        <n v="4309.96"/>
        <n v="1238.73"/>
        <n v="3592.16"/>
        <n v="60.69"/>
        <n v="10164.92"/>
        <n v="11276.3"/>
        <n v="6497.2"/>
        <n v="5540.17"/>
        <n v="1254.2"/>
        <n v="677.14"/>
        <n v="3290.28"/>
        <n v="679.43"/>
        <n v="1070.3499999999999"/>
        <n v="1214.1099999999999"/>
        <n v="934.13"/>
        <n v="2001.96"/>
        <n v="10488.16"/>
        <n v="30237.57"/>
        <n v="1733.05"/>
        <n v="610.04"/>
        <n v="708.83"/>
        <n v="642.28"/>
        <n v="1447.58"/>
        <n v="107.7"/>
        <n v="588.1"/>
        <n v="42.76"/>
        <n v="21664"/>
        <n v="45328.61"/>
        <n v="12923.51"/>
        <n v="31036.03"/>
        <n v="942.36"/>
        <n v="8997.58"/>
        <n v="26779.47"/>
        <n v="13253.4"/>
        <n v="540.41999999999996"/>
        <n v="1320.11"/>
        <n v="4243.68"/>
        <n v="352.47"/>
        <n v="2729"/>
        <n v="997.85"/>
        <n v="5037.91"/>
        <n v="66933.47"/>
        <n v="1103.6300000000001"/>
        <n v="4922.25"/>
        <n v="4009.06"/>
        <n v="732.8"/>
        <n v="433.21"/>
        <n v="28471.56"/>
        <n v="855.11"/>
        <n v="1464.27"/>
        <n v="23708.44"/>
        <n v="13959.45"/>
        <n v="25085.77"/>
        <n v="27555.88"/>
        <n v="9314.0499999999993"/>
        <n v="5095.7299999999996"/>
        <n v="464.26"/>
        <n v="142.53"/>
        <n v="2892.98"/>
        <n v="10495.26"/>
        <n v="68899.210000000006"/>
        <n v="104.53"/>
        <n v="10902.7"/>
        <n v="12838.75"/>
        <n v="372.29"/>
        <n v="116.88"/>
        <n v="995.58"/>
        <n v="14988.42"/>
        <n v="4965.66"/>
        <n v="11177.61"/>
        <n v="350.16"/>
        <n v="53653.33"/>
        <n v="162.49"/>
        <n v="10890.74"/>
        <n v="607.35"/>
        <n v="2537.83"/>
        <n v="20862.150000000001"/>
        <n v="4560.26"/>
        <n v="697.74"/>
        <n v="2526.64"/>
        <n v="423.9"/>
        <n v="123.74"/>
        <n v="970.06"/>
        <n v="182.12"/>
      </sharedItems>
    </cacheField>
    <cacheField name="Payment Mode" numFmtId="0">
      <sharedItems count="5">
        <s v="Net Banking"/>
        <s v="UPI"/>
        <s v="Cash"/>
        <s v="Debit Card"/>
        <s v="Credit Card"/>
      </sharedItems>
    </cacheField>
    <cacheField name="Salesperson" numFmtId="0">
      <sharedItems count="10">
        <s v="Sneha"/>
        <s v="Meera"/>
        <s v="Arjun"/>
        <s v="Pooja"/>
        <s v="Priya"/>
        <s v="Amit"/>
        <s v="Vikram"/>
        <s v="Neha"/>
        <s v="Rahul"/>
        <s v="Kiran"/>
      </sharedItems>
    </cacheField>
    <cacheField name="Customer Segment" numFmtId="0">
      <sharedItems count="3">
        <s v="Small Business"/>
        <s v="Corporate"/>
        <s v="Consumer"/>
      </sharedItems>
    </cacheField>
    <cacheField name="Months (Order Date)" numFmtId="0" databaseField="0">
      <fieldGroup base="1">
        <rangePr groupBy="months" startDate="2025-01-01T00:00:00" endDate="2027-01-01T00:00:00"/>
        <groupItems count="14">
          <s v="&lt;01-01-2025"/>
          <s v="Jan"/>
          <s v="Feb"/>
          <s v="Mar"/>
          <s v="Apr"/>
          <s v="May"/>
          <s v="Jun"/>
          <s v="Jul"/>
          <s v="Aug"/>
          <s v="Sep"/>
          <s v="Oct"/>
          <s v="Nov"/>
          <s v="Dec"/>
          <s v="&gt;01-01-2027"/>
        </groupItems>
      </fieldGroup>
    </cacheField>
    <cacheField name="Quarters (Order Date)" numFmtId="0" databaseField="0">
      <fieldGroup base="1">
        <rangePr groupBy="quarters" startDate="2025-01-01T00:00:00" endDate="2027-01-01T00:00:00"/>
        <groupItems count="6">
          <s v="&lt;01-01-2025"/>
          <s v="Qtr1"/>
          <s v="Qtr2"/>
          <s v="Qtr3"/>
          <s v="Qtr4"/>
          <s v="&gt;01-01-2027"/>
        </groupItems>
      </fieldGroup>
    </cacheField>
    <cacheField name="Years (Order Date)" numFmtId="0" databaseField="0">
      <fieldGroup base="1">
        <rangePr groupBy="years" startDate="2025-01-01T00:00:00" endDate="2027-01-01T00:00:00"/>
        <groupItems count="5">
          <s v="&lt;01-01-2025"/>
          <s v="2025"/>
          <s v="2026"/>
          <s v="2027"/>
          <s v="&gt;01-01-2027"/>
        </groupItems>
      </fieldGroup>
    </cacheField>
  </cacheFields>
  <extLst>
    <ext xmlns:x14="http://schemas.microsoft.com/office/spreadsheetml/2009/9/main" uri="{725AE2AE-9491-48be-B2B4-4EB974FC3084}">
      <x14:pivotCacheDefinition pivotCacheId="17526216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s v="Cleaning"/>
    <x v="0"/>
    <x v="0"/>
    <n v="3"/>
    <n v="0.15"/>
    <x v="0"/>
    <x v="0"/>
    <x v="0"/>
    <x v="0"/>
  </r>
  <r>
    <x v="1"/>
    <x v="1"/>
    <x v="1"/>
    <x v="1"/>
    <x v="1"/>
    <x v="1"/>
    <x v="1"/>
    <s v="Mobiles"/>
    <x v="1"/>
    <x v="1"/>
    <n v="6"/>
    <n v="0.05"/>
    <x v="1"/>
    <x v="1"/>
    <x v="1"/>
    <x v="0"/>
  </r>
  <r>
    <x v="2"/>
    <x v="2"/>
    <x v="2"/>
    <x v="2"/>
    <x v="2"/>
    <x v="2"/>
    <x v="1"/>
    <s v="Accessories"/>
    <x v="2"/>
    <x v="2"/>
    <n v="3"/>
    <n v="0.05"/>
    <x v="2"/>
    <x v="0"/>
    <x v="2"/>
    <x v="0"/>
  </r>
  <r>
    <x v="3"/>
    <x v="3"/>
    <x v="3"/>
    <x v="3"/>
    <x v="3"/>
    <x v="0"/>
    <x v="2"/>
    <s v="Women"/>
    <x v="3"/>
    <x v="3"/>
    <n v="6"/>
    <n v="0.15"/>
    <x v="3"/>
    <x v="2"/>
    <x v="3"/>
    <x v="0"/>
  </r>
  <r>
    <x v="4"/>
    <x v="4"/>
    <x v="4"/>
    <x v="4"/>
    <x v="3"/>
    <x v="0"/>
    <x v="2"/>
    <s v="Women"/>
    <x v="3"/>
    <x v="4"/>
    <n v="2"/>
    <n v="0.1"/>
    <x v="4"/>
    <x v="0"/>
    <x v="4"/>
    <x v="1"/>
  </r>
  <r>
    <x v="5"/>
    <x v="5"/>
    <x v="5"/>
    <x v="5"/>
    <x v="4"/>
    <x v="3"/>
    <x v="2"/>
    <s v="Women"/>
    <x v="4"/>
    <x v="5"/>
    <n v="4"/>
    <n v="0.1"/>
    <x v="5"/>
    <x v="0"/>
    <x v="4"/>
    <x v="0"/>
  </r>
  <r>
    <x v="6"/>
    <x v="6"/>
    <x v="6"/>
    <x v="6"/>
    <x v="1"/>
    <x v="1"/>
    <x v="3"/>
    <s v="Stationery"/>
    <x v="5"/>
    <x v="6"/>
    <n v="4"/>
    <n v="0.1"/>
    <x v="6"/>
    <x v="1"/>
    <x v="3"/>
    <x v="0"/>
  </r>
  <r>
    <x v="7"/>
    <x v="7"/>
    <x v="6"/>
    <x v="7"/>
    <x v="5"/>
    <x v="1"/>
    <x v="1"/>
    <s v="Mobiles"/>
    <x v="6"/>
    <x v="7"/>
    <n v="3"/>
    <n v="0.15"/>
    <x v="7"/>
    <x v="2"/>
    <x v="4"/>
    <x v="2"/>
  </r>
  <r>
    <x v="8"/>
    <x v="8"/>
    <x v="7"/>
    <x v="8"/>
    <x v="6"/>
    <x v="4"/>
    <x v="4"/>
    <s v="Tables"/>
    <x v="7"/>
    <x v="8"/>
    <n v="5"/>
    <n v="0.1"/>
    <x v="8"/>
    <x v="3"/>
    <x v="5"/>
    <x v="2"/>
  </r>
  <r>
    <x v="9"/>
    <x v="9"/>
    <x v="8"/>
    <x v="9"/>
    <x v="7"/>
    <x v="2"/>
    <x v="1"/>
    <s v="Accessories"/>
    <x v="2"/>
    <x v="9"/>
    <n v="3"/>
    <n v="0.1"/>
    <x v="9"/>
    <x v="1"/>
    <x v="0"/>
    <x v="2"/>
  </r>
  <r>
    <x v="10"/>
    <x v="10"/>
    <x v="9"/>
    <x v="8"/>
    <x v="6"/>
    <x v="4"/>
    <x v="0"/>
    <s v="Kitchen"/>
    <x v="8"/>
    <x v="10"/>
    <n v="5"/>
    <n v="0.1"/>
    <x v="10"/>
    <x v="2"/>
    <x v="4"/>
    <x v="1"/>
  </r>
  <r>
    <x v="11"/>
    <x v="11"/>
    <x v="10"/>
    <x v="10"/>
    <x v="8"/>
    <x v="3"/>
    <x v="4"/>
    <s v="Chairs"/>
    <x v="9"/>
    <x v="11"/>
    <n v="6"/>
    <n v="0.1"/>
    <x v="11"/>
    <x v="1"/>
    <x v="5"/>
    <x v="2"/>
  </r>
  <r>
    <x v="12"/>
    <x v="12"/>
    <x v="11"/>
    <x v="7"/>
    <x v="5"/>
    <x v="1"/>
    <x v="4"/>
    <s v="Chairs"/>
    <x v="10"/>
    <x v="12"/>
    <n v="5"/>
    <n v="0.15"/>
    <x v="12"/>
    <x v="3"/>
    <x v="1"/>
    <x v="0"/>
  </r>
  <r>
    <x v="13"/>
    <x v="13"/>
    <x v="12"/>
    <x v="7"/>
    <x v="5"/>
    <x v="1"/>
    <x v="4"/>
    <s v="Chairs"/>
    <x v="10"/>
    <x v="13"/>
    <n v="1"/>
    <n v="0.05"/>
    <x v="13"/>
    <x v="3"/>
    <x v="5"/>
    <x v="2"/>
  </r>
  <r>
    <x v="14"/>
    <x v="14"/>
    <x v="13"/>
    <x v="11"/>
    <x v="3"/>
    <x v="0"/>
    <x v="2"/>
    <s v="Men"/>
    <x v="11"/>
    <x v="14"/>
    <n v="1"/>
    <n v="0.2"/>
    <x v="14"/>
    <x v="4"/>
    <x v="6"/>
    <x v="1"/>
  </r>
  <r>
    <x v="15"/>
    <x v="15"/>
    <x v="14"/>
    <x v="8"/>
    <x v="6"/>
    <x v="4"/>
    <x v="3"/>
    <s v="Paper"/>
    <x v="12"/>
    <x v="15"/>
    <n v="4"/>
    <n v="0"/>
    <x v="15"/>
    <x v="4"/>
    <x v="7"/>
    <x v="1"/>
  </r>
  <r>
    <x v="16"/>
    <x v="16"/>
    <x v="15"/>
    <x v="7"/>
    <x v="5"/>
    <x v="1"/>
    <x v="0"/>
    <s v="Cooling"/>
    <x v="13"/>
    <x v="16"/>
    <n v="1"/>
    <n v="0"/>
    <x v="16"/>
    <x v="4"/>
    <x v="8"/>
    <x v="0"/>
  </r>
  <r>
    <x v="17"/>
    <x v="17"/>
    <x v="16"/>
    <x v="4"/>
    <x v="3"/>
    <x v="0"/>
    <x v="4"/>
    <s v="Storage"/>
    <x v="14"/>
    <x v="17"/>
    <n v="4"/>
    <n v="0.15"/>
    <x v="17"/>
    <x v="1"/>
    <x v="2"/>
    <x v="1"/>
  </r>
  <r>
    <x v="18"/>
    <x v="18"/>
    <x v="17"/>
    <x v="0"/>
    <x v="0"/>
    <x v="0"/>
    <x v="3"/>
    <s v="Stationery"/>
    <x v="15"/>
    <x v="18"/>
    <n v="3"/>
    <n v="0.05"/>
    <x v="18"/>
    <x v="1"/>
    <x v="6"/>
    <x v="2"/>
  </r>
  <r>
    <x v="19"/>
    <x v="19"/>
    <x v="18"/>
    <x v="8"/>
    <x v="6"/>
    <x v="4"/>
    <x v="3"/>
    <s v="Stationery"/>
    <x v="5"/>
    <x v="19"/>
    <n v="1"/>
    <n v="0.05"/>
    <x v="19"/>
    <x v="2"/>
    <x v="5"/>
    <x v="1"/>
  </r>
  <r>
    <x v="20"/>
    <x v="20"/>
    <x v="19"/>
    <x v="12"/>
    <x v="9"/>
    <x v="0"/>
    <x v="3"/>
    <s v="Paper"/>
    <x v="12"/>
    <x v="20"/>
    <n v="6"/>
    <n v="0.15"/>
    <x v="20"/>
    <x v="3"/>
    <x v="2"/>
    <x v="2"/>
  </r>
  <r>
    <x v="21"/>
    <x v="21"/>
    <x v="20"/>
    <x v="13"/>
    <x v="3"/>
    <x v="0"/>
    <x v="1"/>
    <s v="Accessories"/>
    <x v="16"/>
    <x v="21"/>
    <n v="4"/>
    <n v="0.05"/>
    <x v="21"/>
    <x v="3"/>
    <x v="8"/>
    <x v="1"/>
  </r>
  <r>
    <x v="22"/>
    <x v="22"/>
    <x v="21"/>
    <x v="0"/>
    <x v="0"/>
    <x v="0"/>
    <x v="1"/>
    <s v="Accessories"/>
    <x v="2"/>
    <x v="22"/>
    <n v="6"/>
    <n v="0.2"/>
    <x v="22"/>
    <x v="1"/>
    <x v="5"/>
    <x v="2"/>
  </r>
  <r>
    <x v="23"/>
    <x v="23"/>
    <x v="22"/>
    <x v="5"/>
    <x v="4"/>
    <x v="3"/>
    <x v="0"/>
    <s v="Cleaning"/>
    <x v="0"/>
    <x v="23"/>
    <n v="4"/>
    <n v="0"/>
    <x v="23"/>
    <x v="3"/>
    <x v="2"/>
    <x v="2"/>
  </r>
  <r>
    <x v="24"/>
    <x v="24"/>
    <x v="13"/>
    <x v="12"/>
    <x v="9"/>
    <x v="0"/>
    <x v="4"/>
    <s v="Tables"/>
    <x v="7"/>
    <x v="8"/>
    <n v="5"/>
    <n v="0.1"/>
    <x v="24"/>
    <x v="4"/>
    <x v="2"/>
    <x v="1"/>
  </r>
  <r>
    <x v="25"/>
    <x v="25"/>
    <x v="23"/>
    <x v="14"/>
    <x v="10"/>
    <x v="0"/>
    <x v="0"/>
    <s v="Cleaning"/>
    <x v="0"/>
    <x v="24"/>
    <n v="6"/>
    <n v="0"/>
    <x v="25"/>
    <x v="4"/>
    <x v="5"/>
    <x v="2"/>
  </r>
  <r>
    <x v="26"/>
    <x v="26"/>
    <x v="24"/>
    <x v="15"/>
    <x v="11"/>
    <x v="2"/>
    <x v="0"/>
    <s v="Cooling"/>
    <x v="13"/>
    <x v="25"/>
    <n v="5"/>
    <n v="0.05"/>
    <x v="26"/>
    <x v="4"/>
    <x v="9"/>
    <x v="2"/>
  </r>
  <r>
    <x v="27"/>
    <x v="27"/>
    <x v="25"/>
    <x v="13"/>
    <x v="3"/>
    <x v="0"/>
    <x v="0"/>
    <s v="Kitchen"/>
    <x v="8"/>
    <x v="26"/>
    <n v="6"/>
    <n v="0.15"/>
    <x v="27"/>
    <x v="3"/>
    <x v="2"/>
    <x v="1"/>
  </r>
  <r>
    <x v="28"/>
    <x v="28"/>
    <x v="16"/>
    <x v="14"/>
    <x v="10"/>
    <x v="0"/>
    <x v="2"/>
    <s v="Women"/>
    <x v="4"/>
    <x v="27"/>
    <n v="2"/>
    <n v="0.15"/>
    <x v="28"/>
    <x v="0"/>
    <x v="5"/>
    <x v="2"/>
  </r>
  <r>
    <x v="29"/>
    <x v="29"/>
    <x v="26"/>
    <x v="5"/>
    <x v="4"/>
    <x v="3"/>
    <x v="1"/>
    <s v="Accessories"/>
    <x v="16"/>
    <x v="27"/>
    <n v="4"/>
    <n v="0.15"/>
    <x v="29"/>
    <x v="2"/>
    <x v="1"/>
    <x v="1"/>
  </r>
  <r>
    <x v="30"/>
    <x v="30"/>
    <x v="27"/>
    <x v="4"/>
    <x v="3"/>
    <x v="0"/>
    <x v="0"/>
    <s v="Cleaning"/>
    <x v="0"/>
    <x v="28"/>
    <n v="3"/>
    <n v="0.05"/>
    <x v="30"/>
    <x v="0"/>
    <x v="5"/>
    <x v="1"/>
  </r>
  <r>
    <x v="31"/>
    <x v="31"/>
    <x v="28"/>
    <x v="9"/>
    <x v="7"/>
    <x v="2"/>
    <x v="1"/>
    <s v="Laptops"/>
    <x v="17"/>
    <x v="29"/>
    <n v="6"/>
    <n v="0"/>
    <x v="31"/>
    <x v="0"/>
    <x v="7"/>
    <x v="2"/>
  </r>
  <r>
    <x v="32"/>
    <x v="32"/>
    <x v="29"/>
    <x v="0"/>
    <x v="0"/>
    <x v="0"/>
    <x v="1"/>
    <s v="Laptops"/>
    <x v="17"/>
    <x v="30"/>
    <n v="3"/>
    <n v="0.15"/>
    <x v="32"/>
    <x v="2"/>
    <x v="6"/>
    <x v="1"/>
  </r>
  <r>
    <x v="33"/>
    <x v="33"/>
    <x v="14"/>
    <x v="9"/>
    <x v="7"/>
    <x v="2"/>
    <x v="3"/>
    <s v="Paper"/>
    <x v="12"/>
    <x v="15"/>
    <n v="4"/>
    <n v="0"/>
    <x v="33"/>
    <x v="4"/>
    <x v="0"/>
    <x v="0"/>
  </r>
  <r>
    <x v="34"/>
    <x v="34"/>
    <x v="30"/>
    <x v="9"/>
    <x v="7"/>
    <x v="2"/>
    <x v="3"/>
    <s v="Stationery"/>
    <x v="15"/>
    <x v="31"/>
    <n v="1"/>
    <n v="0.1"/>
    <x v="34"/>
    <x v="2"/>
    <x v="0"/>
    <x v="1"/>
  </r>
  <r>
    <x v="35"/>
    <x v="35"/>
    <x v="31"/>
    <x v="4"/>
    <x v="3"/>
    <x v="0"/>
    <x v="3"/>
    <s v="Stationery"/>
    <x v="5"/>
    <x v="32"/>
    <n v="5"/>
    <n v="0.1"/>
    <x v="35"/>
    <x v="3"/>
    <x v="4"/>
    <x v="2"/>
  </r>
  <r>
    <x v="36"/>
    <x v="36"/>
    <x v="32"/>
    <x v="4"/>
    <x v="3"/>
    <x v="0"/>
    <x v="3"/>
    <s v="Paper"/>
    <x v="12"/>
    <x v="33"/>
    <n v="1"/>
    <n v="0.1"/>
    <x v="36"/>
    <x v="2"/>
    <x v="1"/>
    <x v="2"/>
  </r>
  <r>
    <x v="37"/>
    <x v="37"/>
    <x v="33"/>
    <x v="3"/>
    <x v="3"/>
    <x v="0"/>
    <x v="3"/>
    <s v="Stationery"/>
    <x v="5"/>
    <x v="34"/>
    <n v="4"/>
    <n v="0.05"/>
    <x v="37"/>
    <x v="3"/>
    <x v="0"/>
    <x v="1"/>
  </r>
  <r>
    <x v="38"/>
    <x v="38"/>
    <x v="34"/>
    <x v="11"/>
    <x v="3"/>
    <x v="0"/>
    <x v="0"/>
    <s v="Cooling"/>
    <x v="13"/>
    <x v="35"/>
    <n v="6"/>
    <n v="0.1"/>
    <x v="38"/>
    <x v="1"/>
    <x v="5"/>
    <x v="1"/>
  </r>
  <r>
    <x v="39"/>
    <x v="39"/>
    <x v="35"/>
    <x v="13"/>
    <x v="3"/>
    <x v="0"/>
    <x v="0"/>
    <s v="Kitchen"/>
    <x v="18"/>
    <x v="36"/>
    <n v="5"/>
    <n v="0.15"/>
    <x v="39"/>
    <x v="1"/>
    <x v="9"/>
    <x v="1"/>
  </r>
  <r>
    <x v="40"/>
    <x v="40"/>
    <x v="36"/>
    <x v="14"/>
    <x v="10"/>
    <x v="0"/>
    <x v="2"/>
    <s v="Men"/>
    <x v="11"/>
    <x v="37"/>
    <n v="2"/>
    <n v="0.1"/>
    <x v="40"/>
    <x v="0"/>
    <x v="0"/>
    <x v="2"/>
  </r>
  <r>
    <x v="41"/>
    <x v="41"/>
    <x v="37"/>
    <x v="0"/>
    <x v="0"/>
    <x v="0"/>
    <x v="0"/>
    <s v="Cleaning"/>
    <x v="0"/>
    <x v="38"/>
    <n v="5"/>
    <n v="0.15"/>
    <x v="41"/>
    <x v="0"/>
    <x v="4"/>
    <x v="0"/>
  </r>
  <r>
    <x v="42"/>
    <x v="42"/>
    <x v="38"/>
    <x v="5"/>
    <x v="4"/>
    <x v="3"/>
    <x v="0"/>
    <s v="Kitchen"/>
    <x v="18"/>
    <x v="39"/>
    <n v="4"/>
    <n v="0.15"/>
    <x v="42"/>
    <x v="4"/>
    <x v="1"/>
    <x v="1"/>
  </r>
  <r>
    <x v="43"/>
    <x v="43"/>
    <x v="6"/>
    <x v="6"/>
    <x v="1"/>
    <x v="1"/>
    <x v="3"/>
    <s v="Stationery"/>
    <x v="15"/>
    <x v="40"/>
    <n v="3"/>
    <n v="0.1"/>
    <x v="43"/>
    <x v="0"/>
    <x v="0"/>
    <x v="1"/>
  </r>
  <r>
    <x v="44"/>
    <x v="44"/>
    <x v="39"/>
    <x v="5"/>
    <x v="4"/>
    <x v="3"/>
    <x v="1"/>
    <s v="Accessories"/>
    <x v="16"/>
    <x v="41"/>
    <n v="4"/>
    <n v="0.1"/>
    <x v="44"/>
    <x v="0"/>
    <x v="4"/>
    <x v="1"/>
  </r>
  <r>
    <x v="45"/>
    <x v="45"/>
    <x v="40"/>
    <x v="9"/>
    <x v="7"/>
    <x v="2"/>
    <x v="0"/>
    <s v="Cooling"/>
    <x v="13"/>
    <x v="12"/>
    <n v="5"/>
    <n v="0.15"/>
    <x v="45"/>
    <x v="1"/>
    <x v="7"/>
    <x v="2"/>
  </r>
  <r>
    <x v="46"/>
    <x v="46"/>
    <x v="14"/>
    <x v="1"/>
    <x v="1"/>
    <x v="1"/>
    <x v="0"/>
    <s v="Kitchen"/>
    <x v="8"/>
    <x v="42"/>
    <n v="5"/>
    <n v="0"/>
    <x v="46"/>
    <x v="3"/>
    <x v="8"/>
    <x v="2"/>
  </r>
  <r>
    <x v="47"/>
    <x v="47"/>
    <x v="41"/>
    <x v="3"/>
    <x v="3"/>
    <x v="0"/>
    <x v="1"/>
    <s v="Laptops"/>
    <x v="19"/>
    <x v="43"/>
    <n v="6"/>
    <n v="0.05"/>
    <x v="47"/>
    <x v="1"/>
    <x v="1"/>
    <x v="1"/>
  </r>
  <r>
    <x v="48"/>
    <x v="48"/>
    <x v="42"/>
    <x v="5"/>
    <x v="4"/>
    <x v="3"/>
    <x v="1"/>
    <s v="Accessories"/>
    <x v="16"/>
    <x v="44"/>
    <n v="2"/>
    <n v="0"/>
    <x v="48"/>
    <x v="2"/>
    <x v="7"/>
    <x v="0"/>
  </r>
  <r>
    <x v="49"/>
    <x v="49"/>
    <x v="43"/>
    <x v="11"/>
    <x v="3"/>
    <x v="0"/>
    <x v="4"/>
    <s v="Chairs"/>
    <x v="9"/>
    <x v="45"/>
    <n v="4"/>
    <n v="0.1"/>
    <x v="49"/>
    <x v="3"/>
    <x v="6"/>
    <x v="0"/>
  </r>
  <r>
    <x v="50"/>
    <x v="50"/>
    <x v="44"/>
    <x v="15"/>
    <x v="11"/>
    <x v="2"/>
    <x v="4"/>
    <s v="Chairs"/>
    <x v="10"/>
    <x v="46"/>
    <n v="6"/>
    <n v="0.15"/>
    <x v="50"/>
    <x v="1"/>
    <x v="6"/>
    <x v="1"/>
  </r>
  <r>
    <x v="51"/>
    <x v="51"/>
    <x v="45"/>
    <x v="14"/>
    <x v="10"/>
    <x v="0"/>
    <x v="4"/>
    <s v="Storage"/>
    <x v="14"/>
    <x v="47"/>
    <n v="3"/>
    <n v="0.1"/>
    <x v="51"/>
    <x v="2"/>
    <x v="5"/>
    <x v="2"/>
  </r>
  <r>
    <x v="52"/>
    <x v="52"/>
    <x v="46"/>
    <x v="14"/>
    <x v="10"/>
    <x v="0"/>
    <x v="0"/>
    <s v="Cleaning"/>
    <x v="0"/>
    <x v="48"/>
    <n v="5"/>
    <n v="0.1"/>
    <x v="52"/>
    <x v="1"/>
    <x v="5"/>
    <x v="0"/>
  </r>
  <r>
    <x v="53"/>
    <x v="53"/>
    <x v="47"/>
    <x v="10"/>
    <x v="8"/>
    <x v="3"/>
    <x v="3"/>
    <s v="Stationery"/>
    <x v="15"/>
    <x v="31"/>
    <n v="1"/>
    <n v="0.1"/>
    <x v="53"/>
    <x v="4"/>
    <x v="4"/>
    <x v="1"/>
  </r>
  <r>
    <x v="54"/>
    <x v="54"/>
    <x v="48"/>
    <x v="1"/>
    <x v="1"/>
    <x v="1"/>
    <x v="0"/>
    <s v="Kitchen"/>
    <x v="18"/>
    <x v="39"/>
    <n v="4"/>
    <n v="0.15"/>
    <x v="54"/>
    <x v="0"/>
    <x v="6"/>
    <x v="1"/>
  </r>
  <r>
    <x v="55"/>
    <x v="55"/>
    <x v="8"/>
    <x v="3"/>
    <x v="3"/>
    <x v="0"/>
    <x v="0"/>
    <s v="Cleaning"/>
    <x v="0"/>
    <x v="49"/>
    <n v="6"/>
    <n v="0.1"/>
    <x v="55"/>
    <x v="4"/>
    <x v="0"/>
    <x v="2"/>
  </r>
  <r>
    <x v="56"/>
    <x v="56"/>
    <x v="49"/>
    <x v="1"/>
    <x v="1"/>
    <x v="1"/>
    <x v="3"/>
    <s v="Paper"/>
    <x v="12"/>
    <x v="50"/>
    <n v="4"/>
    <n v="0.05"/>
    <x v="56"/>
    <x v="1"/>
    <x v="0"/>
    <x v="2"/>
  </r>
  <r>
    <x v="57"/>
    <x v="57"/>
    <x v="48"/>
    <x v="3"/>
    <x v="3"/>
    <x v="0"/>
    <x v="3"/>
    <s v="Stationery"/>
    <x v="15"/>
    <x v="51"/>
    <n v="5"/>
    <n v="0.05"/>
    <x v="57"/>
    <x v="3"/>
    <x v="7"/>
    <x v="2"/>
  </r>
  <r>
    <x v="58"/>
    <x v="58"/>
    <x v="50"/>
    <x v="4"/>
    <x v="3"/>
    <x v="0"/>
    <x v="2"/>
    <s v="Men"/>
    <x v="11"/>
    <x v="15"/>
    <n v="5"/>
    <n v="0.2"/>
    <x v="58"/>
    <x v="4"/>
    <x v="7"/>
    <x v="2"/>
  </r>
  <r>
    <x v="59"/>
    <x v="59"/>
    <x v="51"/>
    <x v="1"/>
    <x v="1"/>
    <x v="1"/>
    <x v="1"/>
    <s v="Laptops"/>
    <x v="19"/>
    <x v="52"/>
    <n v="4"/>
    <n v="0.05"/>
    <x v="59"/>
    <x v="3"/>
    <x v="5"/>
    <x v="1"/>
  </r>
  <r>
    <x v="60"/>
    <x v="60"/>
    <x v="52"/>
    <x v="13"/>
    <x v="3"/>
    <x v="0"/>
    <x v="0"/>
    <s v="Kitchen"/>
    <x v="8"/>
    <x v="53"/>
    <n v="3"/>
    <n v="0"/>
    <x v="60"/>
    <x v="2"/>
    <x v="9"/>
    <x v="1"/>
  </r>
  <r>
    <x v="61"/>
    <x v="61"/>
    <x v="3"/>
    <x v="12"/>
    <x v="9"/>
    <x v="0"/>
    <x v="0"/>
    <s v="Kitchen"/>
    <x v="18"/>
    <x v="54"/>
    <n v="6"/>
    <n v="0"/>
    <x v="61"/>
    <x v="0"/>
    <x v="4"/>
    <x v="1"/>
  </r>
  <r>
    <x v="62"/>
    <x v="62"/>
    <x v="53"/>
    <x v="1"/>
    <x v="1"/>
    <x v="1"/>
    <x v="3"/>
    <s v="Paper"/>
    <x v="12"/>
    <x v="33"/>
    <n v="1"/>
    <n v="0.1"/>
    <x v="62"/>
    <x v="4"/>
    <x v="2"/>
    <x v="2"/>
  </r>
  <r>
    <x v="63"/>
    <x v="57"/>
    <x v="54"/>
    <x v="10"/>
    <x v="8"/>
    <x v="3"/>
    <x v="3"/>
    <s v="Organizers"/>
    <x v="20"/>
    <x v="55"/>
    <n v="2"/>
    <n v="0.15"/>
    <x v="63"/>
    <x v="1"/>
    <x v="8"/>
    <x v="1"/>
  </r>
  <r>
    <x v="64"/>
    <x v="63"/>
    <x v="45"/>
    <x v="15"/>
    <x v="11"/>
    <x v="2"/>
    <x v="4"/>
    <s v="Chairs"/>
    <x v="10"/>
    <x v="56"/>
    <n v="2"/>
    <n v="0.1"/>
    <x v="64"/>
    <x v="0"/>
    <x v="7"/>
    <x v="1"/>
  </r>
  <r>
    <x v="65"/>
    <x v="64"/>
    <x v="55"/>
    <x v="0"/>
    <x v="0"/>
    <x v="0"/>
    <x v="3"/>
    <s v="Stationery"/>
    <x v="15"/>
    <x v="57"/>
    <n v="3"/>
    <n v="0"/>
    <x v="65"/>
    <x v="0"/>
    <x v="0"/>
    <x v="0"/>
  </r>
  <r>
    <x v="66"/>
    <x v="65"/>
    <x v="56"/>
    <x v="1"/>
    <x v="1"/>
    <x v="1"/>
    <x v="4"/>
    <s v="Chairs"/>
    <x v="10"/>
    <x v="58"/>
    <n v="3"/>
    <n v="0.15"/>
    <x v="66"/>
    <x v="1"/>
    <x v="4"/>
    <x v="0"/>
  </r>
  <r>
    <x v="67"/>
    <x v="66"/>
    <x v="57"/>
    <x v="7"/>
    <x v="5"/>
    <x v="1"/>
    <x v="3"/>
    <s v="Paper"/>
    <x v="12"/>
    <x v="59"/>
    <n v="5"/>
    <n v="0.15"/>
    <x v="67"/>
    <x v="1"/>
    <x v="5"/>
    <x v="1"/>
  </r>
  <r>
    <x v="68"/>
    <x v="67"/>
    <x v="43"/>
    <x v="2"/>
    <x v="2"/>
    <x v="2"/>
    <x v="4"/>
    <s v="Chairs"/>
    <x v="9"/>
    <x v="60"/>
    <n v="6"/>
    <n v="0"/>
    <x v="68"/>
    <x v="4"/>
    <x v="6"/>
    <x v="0"/>
  </r>
  <r>
    <x v="69"/>
    <x v="68"/>
    <x v="58"/>
    <x v="9"/>
    <x v="7"/>
    <x v="2"/>
    <x v="2"/>
    <s v="Men"/>
    <x v="21"/>
    <x v="61"/>
    <n v="2"/>
    <n v="0"/>
    <x v="69"/>
    <x v="1"/>
    <x v="6"/>
    <x v="1"/>
  </r>
  <r>
    <x v="70"/>
    <x v="49"/>
    <x v="18"/>
    <x v="5"/>
    <x v="4"/>
    <x v="3"/>
    <x v="2"/>
    <s v="Women"/>
    <x v="4"/>
    <x v="62"/>
    <n v="5"/>
    <n v="0.1"/>
    <x v="70"/>
    <x v="2"/>
    <x v="3"/>
    <x v="0"/>
  </r>
  <r>
    <x v="71"/>
    <x v="69"/>
    <x v="59"/>
    <x v="15"/>
    <x v="11"/>
    <x v="2"/>
    <x v="0"/>
    <s v="Cooling"/>
    <x v="13"/>
    <x v="46"/>
    <n v="6"/>
    <n v="0.15"/>
    <x v="71"/>
    <x v="0"/>
    <x v="1"/>
    <x v="2"/>
  </r>
  <r>
    <x v="72"/>
    <x v="70"/>
    <x v="29"/>
    <x v="3"/>
    <x v="3"/>
    <x v="0"/>
    <x v="0"/>
    <s v="Cleaning"/>
    <x v="0"/>
    <x v="63"/>
    <n v="6"/>
    <n v="0.15"/>
    <x v="72"/>
    <x v="1"/>
    <x v="5"/>
    <x v="2"/>
  </r>
  <r>
    <x v="73"/>
    <x v="71"/>
    <x v="60"/>
    <x v="14"/>
    <x v="10"/>
    <x v="0"/>
    <x v="4"/>
    <s v="Tables"/>
    <x v="7"/>
    <x v="64"/>
    <n v="5"/>
    <n v="0.15"/>
    <x v="73"/>
    <x v="3"/>
    <x v="3"/>
    <x v="1"/>
  </r>
  <r>
    <x v="74"/>
    <x v="68"/>
    <x v="61"/>
    <x v="8"/>
    <x v="6"/>
    <x v="4"/>
    <x v="1"/>
    <s v="Accessories"/>
    <x v="16"/>
    <x v="40"/>
    <n v="1"/>
    <n v="0.1"/>
    <x v="74"/>
    <x v="0"/>
    <x v="9"/>
    <x v="2"/>
  </r>
  <r>
    <x v="75"/>
    <x v="72"/>
    <x v="62"/>
    <x v="2"/>
    <x v="2"/>
    <x v="2"/>
    <x v="1"/>
    <s v="Laptops"/>
    <x v="17"/>
    <x v="65"/>
    <n v="2"/>
    <n v="0.1"/>
    <x v="75"/>
    <x v="0"/>
    <x v="3"/>
    <x v="0"/>
  </r>
  <r>
    <x v="76"/>
    <x v="73"/>
    <x v="0"/>
    <x v="10"/>
    <x v="8"/>
    <x v="3"/>
    <x v="3"/>
    <s v="Stationery"/>
    <x v="5"/>
    <x v="6"/>
    <n v="4"/>
    <n v="0.1"/>
    <x v="76"/>
    <x v="0"/>
    <x v="0"/>
    <x v="0"/>
  </r>
  <r>
    <x v="77"/>
    <x v="74"/>
    <x v="63"/>
    <x v="2"/>
    <x v="2"/>
    <x v="2"/>
    <x v="2"/>
    <s v="Women"/>
    <x v="4"/>
    <x v="66"/>
    <n v="6"/>
    <n v="0.05"/>
    <x v="77"/>
    <x v="4"/>
    <x v="2"/>
    <x v="2"/>
  </r>
  <r>
    <x v="78"/>
    <x v="75"/>
    <x v="64"/>
    <x v="14"/>
    <x v="10"/>
    <x v="0"/>
    <x v="0"/>
    <s v="Cleaning"/>
    <x v="0"/>
    <x v="23"/>
    <n v="4"/>
    <n v="0"/>
    <x v="78"/>
    <x v="2"/>
    <x v="1"/>
    <x v="2"/>
  </r>
  <r>
    <x v="79"/>
    <x v="76"/>
    <x v="65"/>
    <x v="1"/>
    <x v="1"/>
    <x v="1"/>
    <x v="1"/>
    <s v="Accessories"/>
    <x v="2"/>
    <x v="67"/>
    <n v="1"/>
    <n v="0.15"/>
    <x v="79"/>
    <x v="1"/>
    <x v="5"/>
    <x v="0"/>
  </r>
  <r>
    <x v="80"/>
    <x v="77"/>
    <x v="66"/>
    <x v="1"/>
    <x v="1"/>
    <x v="1"/>
    <x v="3"/>
    <s v="Organizers"/>
    <x v="20"/>
    <x v="68"/>
    <n v="5"/>
    <n v="0.05"/>
    <x v="80"/>
    <x v="2"/>
    <x v="2"/>
    <x v="1"/>
  </r>
  <r>
    <x v="81"/>
    <x v="78"/>
    <x v="67"/>
    <x v="7"/>
    <x v="5"/>
    <x v="1"/>
    <x v="2"/>
    <s v="Men"/>
    <x v="11"/>
    <x v="37"/>
    <n v="2"/>
    <n v="0.1"/>
    <x v="81"/>
    <x v="0"/>
    <x v="3"/>
    <x v="2"/>
  </r>
  <r>
    <x v="82"/>
    <x v="79"/>
    <x v="68"/>
    <x v="11"/>
    <x v="3"/>
    <x v="0"/>
    <x v="0"/>
    <s v="Cleaning"/>
    <x v="0"/>
    <x v="69"/>
    <n v="6"/>
    <n v="0.05"/>
    <x v="82"/>
    <x v="2"/>
    <x v="7"/>
    <x v="1"/>
  </r>
  <r>
    <x v="83"/>
    <x v="80"/>
    <x v="69"/>
    <x v="5"/>
    <x v="4"/>
    <x v="3"/>
    <x v="3"/>
    <s v="Organizers"/>
    <x v="20"/>
    <x v="70"/>
    <n v="1"/>
    <n v="0.05"/>
    <x v="83"/>
    <x v="0"/>
    <x v="5"/>
    <x v="2"/>
  </r>
  <r>
    <x v="84"/>
    <x v="81"/>
    <x v="17"/>
    <x v="10"/>
    <x v="8"/>
    <x v="3"/>
    <x v="3"/>
    <s v="Organizers"/>
    <x v="20"/>
    <x v="71"/>
    <n v="3"/>
    <n v="0"/>
    <x v="84"/>
    <x v="3"/>
    <x v="0"/>
    <x v="2"/>
  </r>
  <r>
    <x v="85"/>
    <x v="82"/>
    <x v="70"/>
    <x v="12"/>
    <x v="9"/>
    <x v="0"/>
    <x v="2"/>
    <s v="Men"/>
    <x v="11"/>
    <x v="72"/>
    <n v="3"/>
    <n v="0.05"/>
    <x v="85"/>
    <x v="2"/>
    <x v="4"/>
    <x v="0"/>
  </r>
  <r>
    <x v="86"/>
    <x v="28"/>
    <x v="71"/>
    <x v="10"/>
    <x v="8"/>
    <x v="3"/>
    <x v="4"/>
    <s v="Chairs"/>
    <x v="9"/>
    <x v="73"/>
    <n v="3"/>
    <n v="0.05"/>
    <x v="86"/>
    <x v="3"/>
    <x v="8"/>
    <x v="2"/>
  </r>
  <r>
    <x v="87"/>
    <x v="83"/>
    <x v="72"/>
    <x v="5"/>
    <x v="4"/>
    <x v="3"/>
    <x v="1"/>
    <s v="Laptops"/>
    <x v="17"/>
    <x v="74"/>
    <n v="3"/>
    <n v="0.05"/>
    <x v="87"/>
    <x v="2"/>
    <x v="6"/>
    <x v="1"/>
  </r>
  <r>
    <x v="88"/>
    <x v="84"/>
    <x v="73"/>
    <x v="6"/>
    <x v="1"/>
    <x v="1"/>
    <x v="4"/>
    <s v="Storage"/>
    <x v="14"/>
    <x v="75"/>
    <n v="2"/>
    <n v="0"/>
    <x v="88"/>
    <x v="3"/>
    <x v="0"/>
    <x v="2"/>
  </r>
  <r>
    <x v="89"/>
    <x v="85"/>
    <x v="74"/>
    <x v="5"/>
    <x v="4"/>
    <x v="3"/>
    <x v="0"/>
    <s v="Kitchen"/>
    <x v="8"/>
    <x v="76"/>
    <n v="5"/>
    <n v="0.05"/>
    <x v="89"/>
    <x v="0"/>
    <x v="6"/>
    <x v="1"/>
  </r>
  <r>
    <x v="90"/>
    <x v="86"/>
    <x v="49"/>
    <x v="8"/>
    <x v="6"/>
    <x v="4"/>
    <x v="3"/>
    <s v="Stationery"/>
    <x v="15"/>
    <x v="51"/>
    <n v="5"/>
    <n v="0.05"/>
    <x v="90"/>
    <x v="3"/>
    <x v="9"/>
    <x v="2"/>
  </r>
  <r>
    <x v="91"/>
    <x v="87"/>
    <x v="75"/>
    <x v="3"/>
    <x v="3"/>
    <x v="0"/>
    <x v="1"/>
    <s v="Accessories"/>
    <x v="2"/>
    <x v="6"/>
    <n v="1"/>
    <n v="0.1"/>
    <x v="91"/>
    <x v="2"/>
    <x v="1"/>
    <x v="1"/>
  </r>
  <r>
    <x v="92"/>
    <x v="7"/>
    <x v="43"/>
    <x v="10"/>
    <x v="8"/>
    <x v="3"/>
    <x v="1"/>
    <s v="Accessories"/>
    <x v="16"/>
    <x v="77"/>
    <n v="3"/>
    <n v="0.15"/>
    <x v="92"/>
    <x v="1"/>
    <x v="6"/>
    <x v="2"/>
  </r>
  <r>
    <x v="93"/>
    <x v="71"/>
    <x v="76"/>
    <x v="1"/>
    <x v="1"/>
    <x v="1"/>
    <x v="0"/>
    <s v="Cleaning"/>
    <x v="0"/>
    <x v="78"/>
    <n v="5"/>
    <n v="0"/>
    <x v="93"/>
    <x v="2"/>
    <x v="2"/>
    <x v="2"/>
  </r>
  <r>
    <x v="94"/>
    <x v="88"/>
    <x v="77"/>
    <x v="0"/>
    <x v="0"/>
    <x v="0"/>
    <x v="3"/>
    <s v="Stationery"/>
    <x v="5"/>
    <x v="18"/>
    <n v="2"/>
    <n v="0.05"/>
    <x v="94"/>
    <x v="3"/>
    <x v="6"/>
    <x v="0"/>
  </r>
  <r>
    <x v="95"/>
    <x v="89"/>
    <x v="78"/>
    <x v="9"/>
    <x v="7"/>
    <x v="2"/>
    <x v="1"/>
    <s v="Mobiles"/>
    <x v="6"/>
    <x v="79"/>
    <n v="3"/>
    <n v="0.05"/>
    <x v="95"/>
    <x v="0"/>
    <x v="3"/>
    <x v="2"/>
  </r>
  <r>
    <x v="96"/>
    <x v="90"/>
    <x v="79"/>
    <x v="9"/>
    <x v="7"/>
    <x v="2"/>
    <x v="1"/>
    <s v="Mobiles"/>
    <x v="1"/>
    <x v="80"/>
    <n v="3"/>
    <n v="0.1"/>
    <x v="96"/>
    <x v="1"/>
    <x v="1"/>
    <x v="1"/>
  </r>
  <r>
    <x v="97"/>
    <x v="40"/>
    <x v="80"/>
    <x v="6"/>
    <x v="1"/>
    <x v="1"/>
    <x v="4"/>
    <s v="Chairs"/>
    <x v="10"/>
    <x v="13"/>
    <n v="1"/>
    <n v="0.05"/>
    <x v="97"/>
    <x v="3"/>
    <x v="4"/>
    <x v="2"/>
  </r>
  <r>
    <x v="98"/>
    <x v="91"/>
    <x v="38"/>
    <x v="5"/>
    <x v="4"/>
    <x v="3"/>
    <x v="0"/>
    <s v="Kitchen"/>
    <x v="18"/>
    <x v="81"/>
    <n v="6"/>
    <n v="0.1"/>
    <x v="98"/>
    <x v="1"/>
    <x v="3"/>
    <x v="0"/>
  </r>
  <r>
    <x v="99"/>
    <x v="92"/>
    <x v="81"/>
    <x v="12"/>
    <x v="9"/>
    <x v="0"/>
    <x v="3"/>
    <s v="Stationery"/>
    <x v="5"/>
    <x v="32"/>
    <n v="5"/>
    <n v="0.1"/>
    <x v="99"/>
    <x v="3"/>
    <x v="1"/>
    <x v="2"/>
  </r>
  <r>
    <x v="100"/>
    <x v="93"/>
    <x v="10"/>
    <x v="10"/>
    <x v="8"/>
    <x v="3"/>
    <x v="3"/>
    <s v="Organizers"/>
    <x v="20"/>
    <x v="82"/>
    <n v="2"/>
    <n v="0.1"/>
    <x v="100"/>
    <x v="0"/>
    <x v="9"/>
    <x v="2"/>
  </r>
  <r>
    <x v="101"/>
    <x v="94"/>
    <x v="82"/>
    <x v="4"/>
    <x v="3"/>
    <x v="0"/>
    <x v="2"/>
    <s v="Women"/>
    <x v="4"/>
    <x v="83"/>
    <n v="3"/>
    <n v="0.15"/>
    <x v="101"/>
    <x v="1"/>
    <x v="3"/>
    <x v="0"/>
  </r>
  <r>
    <x v="102"/>
    <x v="95"/>
    <x v="28"/>
    <x v="5"/>
    <x v="4"/>
    <x v="3"/>
    <x v="1"/>
    <s v="Laptops"/>
    <x v="17"/>
    <x v="84"/>
    <n v="3"/>
    <n v="0.1"/>
    <x v="102"/>
    <x v="1"/>
    <x v="0"/>
    <x v="2"/>
  </r>
  <r>
    <x v="103"/>
    <x v="96"/>
    <x v="83"/>
    <x v="1"/>
    <x v="1"/>
    <x v="1"/>
    <x v="4"/>
    <s v="Tables"/>
    <x v="7"/>
    <x v="85"/>
    <n v="1"/>
    <n v="0.15"/>
    <x v="103"/>
    <x v="4"/>
    <x v="9"/>
    <x v="2"/>
  </r>
  <r>
    <x v="104"/>
    <x v="97"/>
    <x v="1"/>
    <x v="10"/>
    <x v="8"/>
    <x v="3"/>
    <x v="4"/>
    <s v="Chairs"/>
    <x v="10"/>
    <x v="86"/>
    <n v="3"/>
    <n v="0"/>
    <x v="104"/>
    <x v="2"/>
    <x v="2"/>
    <x v="1"/>
  </r>
  <r>
    <x v="105"/>
    <x v="98"/>
    <x v="84"/>
    <x v="2"/>
    <x v="2"/>
    <x v="2"/>
    <x v="4"/>
    <s v="Storage"/>
    <x v="14"/>
    <x v="87"/>
    <n v="4"/>
    <n v="0.1"/>
    <x v="105"/>
    <x v="4"/>
    <x v="6"/>
    <x v="2"/>
  </r>
  <r>
    <x v="106"/>
    <x v="99"/>
    <x v="85"/>
    <x v="8"/>
    <x v="6"/>
    <x v="4"/>
    <x v="1"/>
    <s v="Accessories"/>
    <x v="2"/>
    <x v="44"/>
    <n v="1"/>
    <n v="0"/>
    <x v="106"/>
    <x v="0"/>
    <x v="7"/>
    <x v="0"/>
  </r>
  <r>
    <x v="107"/>
    <x v="100"/>
    <x v="86"/>
    <x v="12"/>
    <x v="9"/>
    <x v="0"/>
    <x v="2"/>
    <s v="Women"/>
    <x v="3"/>
    <x v="88"/>
    <n v="3"/>
    <n v="0.15"/>
    <x v="107"/>
    <x v="0"/>
    <x v="7"/>
    <x v="2"/>
  </r>
  <r>
    <x v="108"/>
    <x v="47"/>
    <x v="87"/>
    <x v="4"/>
    <x v="3"/>
    <x v="0"/>
    <x v="3"/>
    <s v="Stationery"/>
    <x v="15"/>
    <x v="57"/>
    <n v="3"/>
    <n v="0"/>
    <x v="108"/>
    <x v="0"/>
    <x v="7"/>
    <x v="0"/>
  </r>
  <r>
    <x v="109"/>
    <x v="101"/>
    <x v="88"/>
    <x v="0"/>
    <x v="0"/>
    <x v="0"/>
    <x v="2"/>
    <s v="Men"/>
    <x v="11"/>
    <x v="89"/>
    <n v="4"/>
    <n v="0.2"/>
    <x v="109"/>
    <x v="1"/>
    <x v="3"/>
    <x v="0"/>
  </r>
  <r>
    <x v="110"/>
    <x v="102"/>
    <x v="89"/>
    <x v="8"/>
    <x v="6"/>
    <x v="4"/>
    <x v="3"/>
    <s v="Stationery"/>
    <x v="5"/>
    <x v="32"/>
    <n v="5"/>
    <n v="0.1"/>
    <x v="110"/>
    <x v="3"/>
    <x v="2"/>
    <x v="0"/>
  </r>
  <r>
    <x v="111"/>
    <x v="103"/>
    <x v="90"/>
    <x v="15"/>
    <x v="11"/>
    <x v="2"/>
    <x v="2"/>
    <s v="Women"/>
    <x v="4"/>
    <x v="34"/>
    <n v="1"/>
    <n v="0.05"/>
    <x v="111"/>
    <x v="3"/>
    <x v="6"/>
    <x v="1"/>
  </r>
  <r>
    <x v="112"/>
    <x v="104"/>
    <x v="91"/>
    <x v="3"/>
    <x v="3"/>
    <x v="0"/>
    <x v="1"/>
    <s v="Mobiles"/>
    <x v="1"/>
    <x v="90"/>
    <n v="5"/>
    <n v="0.15"/>
    <x v="112"/>
    <x v="3"/>
    <x v="3"/>
    <x v="1"/>
  </r>
  <r>
    <x v="113"/>
    <x v="105"/>
    <x v="92"/>
    <x v="12"/>
    <x v="9"/>
    <x v="0"/>
    <x v="3"/>
    <s v="Stationery"/>
    <x v="5"/>
    <x v="91"/>
    <n v="1"/>
    <n v="0.15"/>
    <x v="113"/>
    <x v="0"/>
    <x v="2"/>
    <x v="2"/>
  </r>
  <r>
    <x v="114"/>
    <x v="106"/>
    <x v="93"/>
    <x v="9"/>
    <x v="7"/>
    <x v="2"/>
    <x v="1"/>
    <s v="Mobiles"/>
    <x v="6"/>
    <x v="92"/>
    <n v="6"/>
    <n v="0"/>
    <x v="114"/>
    <x v="3"/>
    <x v="6"/>
    <x v="1"/>
  </r>
  <r>
    <x v="115"/>
    <x v="107"/>
    <x v="94"/>
    <x v="0"/>
    <x v="0"/>
    <x v="0"/>
    <x v="1"/>
    <s v="Mobiles"/>
    <x v="1"/>
    <x v="24"/>
    <n v="2"/>
    <n v="0.15"/>
    <x v="115"/>
    <x v="3"/>
    <x v="5"/>
    <x v="2"/>
  </r>
  <r>
    <x v="116"/>
    <x v="108"/>
    <x v="47"/>
    <x v="11"/>
    <x v="3"/>
    <x v="0"/>
    <x v="1"/>
    <s v="Laptops"/>
    <x v="17"/>
    <x v="93"/>
    <n v="4"/>
    <n v="0"/>
    <x v="116"/>
    <x v="1"/>
    <x v="4"/>
    <x v="0"/>
  </r>
  <r>
    <x v="117"/>
    <x v="109"/>
    <x v="95"/>
    <x v="5"/>
    <x v="4"/>
    <x v="3"/>
    <x v="3"/>
    <s v="Stationery"/>
    <x v="15"/>
    <x v="94"/>
    <n v="5"/>
    <n v="0"/>
    <x v="117"/>
    <x v="1"/>
    <x v="7"/>
    <x v="2"/>
  </r>
  <r>
    <x v="118"/>
    <x v="110"/>
    <x v="74"/>
    <x v="9"/>
    <x v="7"/>
    <x v="2"/>
    <x v="3"/>
    <s v="Stationery"/>
    <x v="15"/>
    <x v="95"/>
    <n v="2"/>
    <n v="0"/>
    <x v="118"/>
    <x v="3"/>
    <x v="8"/>
    <x v="2"/>
  </r>
  <r>
    <x v="119"/>
    <x v="111"/>
    <x v="96"/>
    <x v="5"/>
    <x v="4"/>
    <x v="3"/>
    <x v="1"/>
    <s v="Mobiles"/>
    <x v="6"/>
    <x v="96"/>
    <n v="1"/>
    <n v="0.05"/>
    <x v="119"/>
    <x v="4"/>
    <x v="0"/>
    <x v="2"/>
  </r>
  <r>
    <x v="120"/>
    <x v="79"/>
    <x v="0"/>
    <x v="4"/>
    <x v="3"/>
    <x v="0"/>
    <x v="3"/>
    <s v="Paper"/>
    <x v="12"/>
    <x v="54"/>
    <n v="5"/>
    <n v="0.1"/>
    <x v="120"/>
    <x v="3"/>
    <x v="5"/>
    <x v="1"/>
  </r>
  <r>
    <x v="121"/>
    <x v="112"/>
    <x v="37"/>
    <x v="5"/>
    <x v="4"/>
    <x v="3"/>
    <x v="1"/>
    <s v="Accessories"/>
    <x v="16"/>
    <x v="97"/>
    <n v="5"/>
    <n v="0.15"/>
    <x v="121"/>
    <x v="3"/>
    <x v="5"/>
    <x v="1"/>
  </r>
  <r>
    <x v="122"/>
    <x v="113"/>
    <x v="97"/>
    <x v="5"/>
    <x v="4"/>
    <x v="3"/>
    <x v="0"/>
    <s v="Kitchen"/>
    <x v="18"/>
    <x v="98"/>
    <n v="5"/>
    <n v="0.05"/>
    <x v="122"/>
    <x v="2"/>
    <x v="2"/>
    <x v="2"/>
  </r>
  <r>
    <x v="123"/>
    <x v="114"/>
    <x v="98"/>
    <x v="10"/>
    <x v="8"/>
    <x v="3"/>
    <x v="0"/>
    <s v="Cleaning"/>
    <x v="0"/>
    <x v="0"/>
    <n v="3"/>
    <n v="0.15"/>
    <x v="123"/>
    <x v="1"/>
    <x v="9"/>
    <x v="2"/>
  </r>
  <r>
    <x v="124"/>
    <x v="115"/>
    <x v="99"/>
    <x v="2"/>
    <x v="2"/>
    <x v="2"/>
    <x v="0"/>
    <s v="Cooling"/>
    <x v="13"/>
    <x v="13"/>
    <n v="1"/>
    <n v="0.05"/>
    <x v="124"/>
    <x v="3"/>
    <x v="5"/>
    <x v="2"/>
  </r>
  <r>
    <x v="125"/>
    <x v="116"/>
    <x v="20"/>
    <x v="3"/>
    <x v="3"/>
    <x v="0"/>
    <x v="0"/>
    <s v="Kitchen"/>
    <x v="18"/>
    <x v="22"/>
    <n v="6"/>
    <n v="0.2"/>
    <x v="125"/>
    <x v="1"/>
    <x v="3"/>
    <x v="0"/>
  </r>
  <r>
    <x v="126"/>
    <x v="117"/>
    <x v="100"/>
    <x v="1"/>
    <x v="1"/>
    <x v="1"/>
    <x v="0"/>
    <s v="Kitchen"/>
    <x v="8"/>
    <x v="99"/>
    <n v="1"/>
    <n v="0"/>
    <x v="126"/>
    <x v="4"/>
    <x v="3"/>
    <x v="1"/>
  </r>
  <r>
    <x v="127"/>
    <x v="118"/>
    <x v="12"/>
    <x v="5"/>
    <x v="4"/>
    <x v="3"/>
    <x v="1"/>
    <s v="Laptops"/>
    <x v="19"/>
    <x v="100"/>
    <n v="1"/>
    <n v="0.15"/>
    <x v="127"/>
    <x v="4"/>
    <x v="1"/>
    <x v="1"/>
  </r>
  <r>
    <x v="128"/>
    <x v="119"/>
    <x v="101"/>
    <x v="14"/>
    <x v="10"/>
    <x v="0"/>
    <x v="1"/>
    <s v="Mobiles"/>
    <x v="1"/>
    <x v="101"/>
    <n v="1"/>
    <n v="0.2"/>
    <x v="128"/>
    <x v="1"/>
    <x v="4"/>
    <x v="1"/>
  </r>
  <r>
    <x v="129"/>
    <x v="120"/>
    <x v="102"/>
    <x v="5"/>
    <x v="4"/>
    <x v="3"/>
    <x v="0"/>
    <s v="Kitchen"/>
    <x v="18"/>
    <x v="9"/>
    <n v="3"/>
    <n v="0.1"/>
    <x v="129"/>
    <x v="1"/>
    <x v="1"/>
    <x v="1"/>
  </r>
  <r>
    <x v="130"/>
    <x v="121"/>
    <x v="65"/>
    <x v="7"/>
    <x v="5"/>
    <x v="1"/>
    <x v="0"/>
    <s v="Cooling"/>
    <x v="13"/>
    <x v="102"/>
    <n v="4"/>
    <n v="0"/>
    <x v="130"/>
    <x v="0"/>
    <x v="3"/>
    <x v="2"/>
  </r>
  <r>
    <x v="131"/>
    <x v="122"/>
    <x v="103"/>
    <x v="0"/>
    <x v="0"/>
    <x v="0"/>
    <x v="4"/>
    <s v="Chairs"/>
    <x v="10"/>
    <x v="86"/>
    <n v="3"/>
    <n v="0"/>
    <x v="131"/>
    <x v="3"/>
    <x v="1"/>
    <x v="0"/>
  </r>
  <r>
    <x v="132"/>
    <x v="123"/>
    <x v="104"/>
    <x v="4"/>
    <x v="3"/>
    <x v="0"/>
    <x v="1"/>
    <s v="Accessories"/>
    <x v="2"/>
    <x v="67"/>
    <n v="1"/>
    <n v="0.15"/>
    <x v="132"/>
    <x v="2"/>
    <x v="0"/>
    <x v="1"/>
  </r>
  <r>
    <x v="133"/>
    <x v="55"/>
    <x v="105"/>
    <x v="11"/>
    <x v="3"/>
    <x v="0"/>
    <x v="3"/>
    <s v="Stationery"/>
    <x v="5"/>
    <x v="44"/>
    <n v="4"/>
    <n v="0"/>
    <x v="133"/>
    <x v="4"/>
    <x v="8"/>
    <x v="0"/>
  </r>
  <r>
    <x v="134"/>
    <x v="124"/>
    <x v="106"/>
    <x v="9"/>
    <x v="7"/>
    <x v="2"/>
    <x v="2"/>
    <s v="Women"/>
    <x v="3"/>
    <x v="103"/>
    <n v="3"/>
    <n v="0.1"/>
    <x v="134"/>
    <x v="4"/>
    <x v="4"/>
    <x v="0"/>
  </r>
  <r>
    <x v="135"/>
    <x v="65"/>
    <x v="6"/>
    <x v="6"/>
    <x v="1"/>
    <x v="1"/>
    <x v="2"/>
    <s v="Men"/>
    <x v="21"/>
    <x v="104"/>
    <n v="1"/>
    <n v="0.05"/>
    <x v="135"/>
    <x v="2"/>
    <x v="4"/>
    <x v="0"/>
  </r>
  <r>
    <x v="136"/>
    <x v="125"/>
    <x v="107"/>
    <x v="1"/>
    <x v="1"/>
    <x v="1"/>
    <x v="3"/>
    <s v="Stationery"/>
    <x v="5"/>
    <x v="19"/>
    <n v="1"/>
    <n v="0.05"/>
    <x v="136"/>
    <x v="2"/>
    <x v="9"/>
    <x v="0"/>
  </r>
  <r>
    <x v="137"/>
    <x v="126"/>
    <x v="45"/>
    <x v="14"/>
    <x v="10"/>
    <x v="0"/>
    <x v="1"/>
    <s v="Mobiles"/>
    <x v="6"/>
    <x v="92"/>
    <n v="6"/>
    <n v="0"/>
    <x v="137"/>
    <x v="2"/>
    <x v="3"/>
    <x v="0"/>
  </r>
  <r>
    <x v="138"/>
    <x v="127"/>
    <x v="11"/>
    <x v="5"/>
    <x v="4"/>
    <x v="3"/>
    <x v="0"/>
    <s v="Cooling"/>
    <x v="13"/>
    <x v="105"/>
    <n v="6"/>
    <n v="0"/>
    <x v="138"/>
    <x v="1"/>
    <x v="3"/>
    <x v="0"/>
  </r>
  <r>
    <x v="139"/>
    <x v="128"/>
    <x v="108"/>
    <x v="14"/>
    <x v="10"/>
    <x v="0"/>
    <x v="3"/>
    <s v="Paper"/>
    <x v="12"/>
    <x v="106"/>
    <n v="5"/>
    <n v="0"/>
    <x v="139"/>
    <x v="0"/>
    <x v="5"/>
    <x v="0"/>
  </r>
  <r>
    <x v="140"/>
    <x v="129"/>
    <x v="104"/>
    <x v="4"/>
    <x v="3"/>
    <x v="0"/>
    <x v="3"/>
    <s v="Stationery"/>
    <x v="5"/>
    <x v="107"/>
    <n v="3"/>
    <n v="0.05"/>
    <x v="140"/>
    <x v="4"/>
    <x v="3"/>
    <x v="0"/>
  </r>
  <r>
    <x v="141"/>
    <x v="130"/>
    <x v="109"/>
    <x v="7"/>
    <x v="5"/>
    <x v="1"/>
    <x v="1"/>
    <s v="Laptops"/>
    <x v="19"/>
    <x v="108"/>
    <n v="2"/>
    <n v="0.2"/>
    <x v="141"/>
    <x v="2"/>
    <x v="7"/>
    <x v="0"/>
  </r>
  <r>
    <x v="142"/>
    <x v="131"/>
    <x v="110"/>
    <x v="8"/>
    <x v="6"/>
    <x v="4"/>
    <x v="1"/>
    <s v="Mobiles"/>
    <x v="1"/>
    <x v="109"/>
    <n v="2"/>
    <n v="0.05"/>
    <x v="142"/>
    <x v="0"/>
    <x v="7"/>
    <x v="0"/>
  </r>
  <r>
    <x v="143"/>
    <x v="132"/>
    <x v="111"/>
    <x v="3"/>
    <x v="3"/>
    <x v="0"/>
    <x v="3"/>
    <s v="Paper"/>
    <x v="12"/>
    <x v="110"/>
    <n v="2"/>
    <n v="0.05"/>
    <x v="143"/>
    <x v="1"/>
    <x v="3"/>
    <x v="2"/>
  </r>
  <r>
    <x v="144"/>
    <x v="126"/>
    <x v="25"/>
    <x v="2"/>
    <x v="2"/>
    <x v="2"/>
    <x v="2"/>
    <s v="Men"/>
    <x v="21"/>
    <x v="111"/>
    <n v="3"/>
    <n v="0.15"/>
    <x v="144"/>
    <x v="1"/>
    <x v="5"/>
    <x v="2"/>
  </r>
  <r>
    <x v="145"/>
    <x v="133"/>
    <x v="112"/>
    <x v="15"/>
    <x v="11"/>
    <x v="2"/>
    <x v="2"/>
    <s v="Men"/>
    <x v="21"/>
    <x v="112"/>
    <n v="5"/>
    <n v="0.1"/>
    <x v="145"/>
    <x v="2"/>
    <x v="7"/>
    <x v="0"/>
  </r>
  <r>
    <x v="146"/>
    <x v="134"/>
    <x v="29"/>
    <x v="1"/>
    <x v="1"/>
    <x v="1"/>
    <x v="2"/>
    <s v="Men"/>
    <x v="21"/>
    <x v="104"/>
    <n v="1"/>
    <n v="0.05"/>
    <x v="146"/>
    <x v="2"/>
    <x v="1"/>
    <x v="0"/>
  </r>
  <r>
    <x v="147"/>
    <x v="135"/>
    <x v="113"/>
    <x v="14"/>
    <x v="10"/>
    <x v="0"/>
    <x v="0"/>
    <s v="Cooling"/>
    <x v="13"/>
    <x v="25"/>
    <n v="5"/>
    <n v="0.05"/>
    <x v="147"/>
    <x v="4"/>
    <x v="4"/>
    <x v="1"/>
  </r>
  <r>
    <x v="148"/>
    <x v="136"/>
    <x v="114"/>
    <x v="15"/>
    <x v="11"/>
    <x v="2"/>
    <x v="4"/>
    <s v="Tables"/>
    <x v="7"/>
    <x v="113"/>
    <n v="2"/>
    <n v="0.1"/>
    <x v="148"/>
    <x v="0"/>
    <x v="0"/>
    <x v="0"/>
  </r>
  <r>
    <x v="149"/>
    <x v="137"/>
    <x v="115"/>
    <x v="7"/>
    <x v="5"/>
    <x v="1"/>
    <x v="0"/>
    <s v="Kitchen"/>
    <x v="18"/>
    <x v="81"/>
    <n v="6"/>
    <n v="0.1"/>
    <x v="149"/>
    <x v="0"/>
    <x v="2"/>
    <x v="0"/>
  </r>
  <r>
    <x v="150"/>
    <x v="138"/>
    <x v="116"/>
    <x v="4"/>
    <x v="3"/>
    <x v="0"/>
    <x v="1"/>
    <s v="Accessories"/>
    <x v="16"/>
    <x v="114"/>
    <n v="5"/>
    <n v="0.05"/>
    <x v="150"/>
    <x v="3"/>
    <x v="8"/>
    <x v="1"/>
  </r>
  <r>
    <x v="151"/>
    <x v="139"/>
    <x v="117"/>
    <x v="13"/>
    <x v="3"/>
    <x v="0"/>
    <x v="0"/>
    <s v="Kitchen"/>
    <x v="18"/>
    <x v="115"/>
    <n v="1"/>
    <n v="0.2"/>
    <x v="151"/>
    <x v="0"/>
    <x v="9"/>
    <x v="0"/>
  </r>
  <r>
    <x v="152"/>
    <x v="140"/>
    <x v="118"/>
    <x v="12"/>
    <x v="9"/>
    <x v="0"/>
    <x v="0"/>
    <s v="Kitchen"/>
    <x v="8"/>
    <x v="116"/>
    <n v="2"/>
    <n v="0.15"/>
    <x v="152"/>
    <x v="0"/>
    <x v="1"/>
    <x v="0"/>
  </r>
  <r>
    <x v="153"/>
    <x v="141"/>
    <x v="119"/>
    <x v="7"/>
    <x v="5"/>
    <x v="1"/>
    <x v="1"/>
    <s v="Accessories"/>
    <x v="2"/>
    <x v="81"/>
    <n v="6"/>
    <n v="0.1"/>
    <x v="153"/>
    <x v="1"/>
    <x v="1"/>
    <x v="0"/>
  </r>
  <r>
    <x v="154"/>
    <x v="142"/>
    <x v="64"/>
    <x v="6"/>
    <x v="1"/>
    <x v="1"/>
    <x v="4"/>
    <s v="Chairs"/>
    <x v="10"/>
    <x v="58"/>
    <n v="3"/>
    <n v="0.15"/>
    <x v="154"/>
    <x v="4"/>
    <x v="6"/>
    <x v="0"/>
  </r>
  <r>
    <x v="155"/>
    <x v="143"/>
    <x v="120"/>
    <x v="11"/>
    <x v="3"/>
    <x v="0"/>
    <x v="0"/>
    <s v="Kitchen"/>
    <x v="18"/>
    <x v="34"/>
    <n v="1"/>
    <n v="0.05"/>
    <x v="155"/>
    <x v="3"/>
    <x v="1"/>
    <x v="2"/>
  </r>
  <r>
    <x v="156"/>
    <x v="144"/>
    <x v="83"/>
    <x v="2"/>
    <x v="2"/>
    <x v="2"/>
    <x v="3"/>
    <s v="Stationery"/>
    <x v="5"/>
    <x v="117"/>
    <n v="6"/>
    <n v="0"/>
    <x v="156"/>
    <x v="0"/>
    <x v="9"/>
    <x v="2"/>
  </r>
  <r>
    <x v="157"/>
    <x v="145"/>
    <x v="94"/>
    <x v="11"/>
    <x v="3"/>
    <x v="0"/>
    <x v="1"/>
    <s v="Mobiles"/>
    <x v="1"/>
    <x v="118"/>
    <n v="6"/>
    <n v="0"/>
    <x v="157"/>
    <x v="2"/>
    <x v="3"/>
    <x v="2"/>
  </r>
  <r>
    <x v="158"/>
    <x v="146"/>
    <x v="121"/>
    <x v="11"/>
    <x v="3"/>
    <x v="0"/>
    <x v="3"/>
    <s v="Stationery"/>
    <x v="5"/>
    <x v="19"/>
    <n v="1"/>
    <n v="0.05"/>
    <x v="158"/>
    <x v="0"/>
    <x v="6"/>
    <x v="1"/>
  </r>
  <r>
    <x v="159"/>
    <x v="5"/>
    <x v="122"/>
    <x v="12"/>
    <x v="9"/>
    <x v="0"/>
    <x v="3"/>
    <s v="Stationery"/>
    <x v="15"/>
    <x v="119"/>
    <n v="4"/>
    <n v="0.05"/>
    <x v="159"/>
    <x v="1"/>
    <x v="8"/>
    <x v="1"/>
  </r>
  <r>
    <x v="160"/>
    <x v="147"/>
    <x v="51"/>
    <x v="0"/>
    <x v="0"/>
    <x v="0"/>
    <x v="3"/>
    <s v="Organizers"/>
    <x v="20"/>
    <x v="120"/>
    <n v="6"/>
    <n v="0.1"/>
    <x v="160"/>
    <x v="4"/>
    <x v="2"/>
    <x v="0"/>
  </r>
  <r>
    <x v="161"/>
    <x v="148"/>
    <x v="123"/>
    <x v="8"/>
    <x v="6"/>
    <x v="4"/>
    <x v="1"/>
    <s v="Mobiles"/>
    <x v="1"/>
    <x v="121"/>
    <n v="4"/>
    <n v="0.1"/>
    <x v="161"/>
    <x v="0"/>
    <x v="0"/>
    <x v="2"/>
  </r>
  <r>
    <x v="162"/>
    <x v="1"/>
    <x v="124"/>
    <x v="15"/>
    <x v="11"/>
    <x v="2"/>
    <x v="0"/>
    <s v="Cooling"/>
    <x v="13"/>
    <x v="122"/>
    <n v="6"/>
    <n v="0.05"/>
    <x v="162"/>
    <x v="4"/>
    <x v="0"/>
    <x v="2"/>
  </r>
  <r>
    <x v="163"/>
    <x v="149"/>
    <x v="125"/>
    <x v="0"/>
    <x v="0"/>
    <x v="0"/>
    <x v="1"/>
    <s v="Laptops"/>
    <x v="17"/>
    <x v="123"/>
    <n v="1"/>
    <n v="0"/>
    <x v="163"/>
    <x v="3"/>
    <x v="7"/>
    <x v="0"/>
  </r>
  <r>
    <x v="164"/>
    <x v="150"/>
    <x v="126"/>
    <x v="14"/>
    <x v="10"/>
    <x v="0"/>
    <x v="2"/>
    <s v="Men"/>
    <x v="21"/>
    <x v="124"/>
    <n v="4"/>
    <n v="0.05"/>
    <x v="164"/>
    <x v="4"/>
    <x v="7"/>
    <x v="0"/>
  </r>
  <r>
    <x v="165"/>
    <x v="151"/>
    <x v="65"/>
    <x v="8"/>
    <x v="6"/>
    <x v="4"/>
    <x v="1"/>
    <s v="Accessories"/>
    <x v="2"/>
    <x v="34"/>
    <n v="1"/>
    <n v="0.05"/>
    <x v="165"/>
    <x v="4"/>
    <x v="1"/>
    <x v="2"/>
  </r>
  <r>
    <x v="166"/>
    <x v="152"/>
    <x v="127"/>
    <x v="3"/>
    <x v="3"/>
    <x v="0"/>
    <x v="1"/>
    <s v="Accessories"/>
    <x v="2"/>
    <x v="67"/>
    <n v="1"/>
    <n v="0.15"/>
    <x v="166"/>
    <x v="3"/>
    <x v="2"/>
    <x v="1"/>
  </r>
  <r>
    <x v="167"/>
    <x v="136"/>
    <x v="128"/>
    <x v="15"/>
    <x v="11"/>
    <x v="2"/>
    <x v="3"/>
    <s v="Stationery"/>
    <x v="15"/>
    <x v="94"/>
    <n v="5"/>
    <n v="0"/>
    <x v="167"/>
    <x v="2"/>
    <x v="4"/>
    <x v="2"/>
  </r>
  <r>
    <x v="168"/>
    <x v="147"/>
    <x v="129"/>
    <x v="5"/>
    <x v="4"/>
    <x v="3"/>
    <x v="2"/>
    <s v="Women"/>
    <x v="3"/>
    <x v="125"/>
    <n v="5"/>
    <n v="0"/>
    <x v="168"/>
    <x v="3"/>
    <x v="4"/>
    <x v="1"/>
  </r>
  <r>
    <x v="169"/>
    <x v="52"/>
    <x v="66"/>
    <x v="15"/>
    <x v="11"/>
    <x v="2"/>
    <x v="1"/>
    <s v="Mobiles"/>
    <x v="6"/>
    <x v="126"/>
    <n v="2"/>
    <n v="0"/>
    <x v="169"/>
    <x v="0"/>
    <x v="2"/>
    <x v="1"/>
  </r>
  <r>
    <x v="170"/>
    <x v="153"/>
    <x v="130"/>
    <x v="2"/>
    <x v="2"/>
    <x v="2"/>
    <x v="1"/>
    <s v="Mobiles"/>
    <x v="1"/>
    <x v="45"/>
    <n v="1"/>
    <n v="0.1"/>
    <x v="170"/>
    <x v="2"/>
    <x v="0"/>
    <x v="1"/>
  </r>
  <r>
    <x v="171"/>
    <x v="154"/>
    <x v="131"/>
    <x v="0"/>
    <x v="0"/>
    <x v="0"/>
    <x v="0"/>
    <s v="Kitchen"/>
    <x v="8"/>
    <x v="127"/>
    <n v="4"/>
    <n v="0.05"/>
    <x v="171"/>
    <x v="0"/>
    <x v="7"/>
    <x v="2"/>
  </r>
  <r>
    <x v="172"/>
    <x v="85"/>
    <x v="132"/>
    <x v="2"/>
    <x v="2"/>
    <x v="2"/>
    <x v="1"/>
    <s v="Accessories"/>
    <x v="2"/>
    <x v="2"/>
    <n v="3"/>
    <n v="0.05"/>
    <x v="172"/>
    <x v="1"/>
    <x v="6"/>
    <x v="1"/>
  </r>
  <r>
    <x v="173"/>
    <x v="155"/>
    <x v="133"/>
    <x v="3"/>
    <x v="3"/>
    <x v="0"/>
    <x v="3"/>
    <s v="Stationery"/>
    <x v="5"/>
    <x v="57"/>
    <n v="2"/>
    <n v="0"/>
    <x v="173"/>
    <x v="0"/>
    <x v="0"/>
    <x v="0"/>
  </r>
  <r>
    <x v="174"/>
    <x v="156"/>
    <x v="134"/>
    <x v="6"/>
    <x v="1"/>
    <x v="1"/>
    <x v="3"/>
    <s v="Organizers"/>
    <x v="20"/>
    <x v="128"/>
    <n v="2"/>
    <n v="0.05"/>
    <x v="174"/>
    <x v="0"/>
    <x v="1"/>
    <x v="2"/>
  </r>
  <r>
    <x v="175"/>
    <x v="157"/>
    <x v="23"/>
    <x v="11"/>
    <x v="3"/>
    <x v="0"/>
    <x v="2"/>
    <s v="Men"/>
    <x v="21"/>
    <x v="129"/>
    <n v="1"/>
    <n v="0.15"/>
    <x v="175"/>
    <x v="4"/>
    <x v="3"/>
    <x v="2"/>
  </r>
  <r>
    <x v="176"/>
    <x v="158"/>
    <x v="129"/>
    <x v="5"/>
    <x v="4"/>
    <x v="3"/>
    <x v="3"/>
    <s v="Stationery"/>
    <x v="15"/>
    <x v="40"/>
    <n v="3"/>
    <n v="0.1"/>
    <x v="176"/>
    <x v="2"/>
    <x v="5"/>
    <x v="0"/>
  </r>
  <r>
    <x v="177"/>
    <x v="91"/>
    <x v="14"/>
    <x v="6"/>
    <x v="1"/>
    <x v="1"/>
    <x v="1"/>
    <s v="Laptops"/>
    <x v="19"/>
    <x v="130"/>
    <n v="3"/>
    <n v="0.1"/>
    <x v="177"/>
    <x v="0"/>
    <x v="3"/>
    <x v="1"/>
  </r>
  <r>
    <x v="178"/>
    <x v="83"/>
    <x v="135"/>
    <x v="14"/>
    <x v="10"/>
    <x v="0"/>
    <x v="4"/>
    <s v="Storage"/>
    <x v="14"/>
    <x v="17"/>
    <n v="4"/>
    <n v="0.15"/>
    <x v="178"/>
    <x v="4"/>
    <x v="7"/>
    <x v="0"/>
  </r>
  <r>
    <x v="179"/>
    <x v="159"/>
    <x v="106"/>
    <x v="8"/>
    <x v="6"/>
    <x v="4"/>
    <x v="3"/>
    <s v="Stationery"/>
    <x v="5"/>
    <x v="131"/>
    <n v="1"/>
    <n v="0.2"/>
    <x v="179"/>
    <x v="1"/>
    <x v="2"/>
    <x v="2"/>
  </r>
  <r>
    <x v="180"/>
    <x v="50"/>
    <x v="136"/>
    <x v="9"/>
    <x v="7"/>
    <x v="2"/>
    <x v="3"/>
    <s v="Paper"/>
    <x v="12"/>
    <x v="110"/>
    <n v="2"/>
    <n v="0.05"/>
    <x v="180"/>
    <x v="2"/>
    <x v="4"/>
    <x v="0"/>
  </r>
  <r>
    <x v="181"/>
    <x v="160"/>
    <x v="137"/>
    <x v="9"/>
    <x v="7"/>
    <x v="2"/>
    <x v="4"/>
    <s v="Chairs"/>
    <x v="10"/>
    <x v="132"/>
    <n v="2"/>
    <n v="0.05"/>
    <x v="181"/>
    <x v="2"/>
    <x v="0"/>
    <x v="2"/>
  </r>
  <r>
    <x v="182"/>
    <x v="161"/>
    <x v="138"/>
    <x v="5"/>
    <x v="4"/>
    <x v="3"/>
    <x v="1"/>
    <s v="Accessories"/>
    <x v="2"/>
    <x v="6"/>
    <n v="1"/>
    <n v="0.1"/>
    <x v="182"/>
    <x v="2"/>
    <x v="2"/>
    <x v="0"/>
  </r>
  <r>
    <x v="183"/>
    <x v="162"/>
    <x v="97"/>
    <x v="3"/>
    <x v="3"/>
    <x v="0"/>
    <x v="3"/>
    <s v="Stationery"/>
    <x v="15"/>
    <x v="133"/>
    <n v="5"/>
    <n v="0.2"/>
    <x v="183"/>
    <x v="3"/>
    <x v="2"/>
    <x v="1"/>
  </r>
  <r>
    <x v="184"/>
    <x v="163"/>
    <x v="139"/>
    <x v="5"/>
    <x v="4"/>
    <x v="3"/>
    <x v="1"/>
    <s v="Laptops"/>
    <x v="17"/>
    <x v="134"/>
    <n v="2"/>
    <n v="0"/>
    <x v="184"/>
    <x v="2"/>
    <x v="7"/>
    <x v="0"/>
  </r>
  <r>
    <x v="185"/>
    <x v="164"/>
    <x v="51"/>
    <x v="6"/>
    <x v="1"/>
    <x v="1"/>
    <x v="3"/>
    <s v="Organizers"/>
    <x v="20"/>
    <x v="135"/>
    <n v="3"/>
    <n v="0.05"/>
    <x v="185"/>
    <x v="0"/>
    <x v="3"/>
    <x v="1"/>
  </r>
  <r>
    <x v="186"/>
    <x v="107"/>
    <x v="23"/>
    <x v="9"/>
    <x v="7"/>
    <x v="2"/>
    <x v="1"/>
    <s v="Laptops"/>
    <x v="19"/>
    <x v="136"/>
    <n v="4"/>
    <n v="0.1"/>
    <x v="186"/>
    <x v="3"/>
    <x v="2"/>
    <x v="1"/>
  </r>
  <r>
    <x v="187"/>
    <x v="165"/>
    <x v="4"/>
    <x v="6"/>
    <x v="1"/>
    <x v="1"/>
    <x v="0"/>
    <s v="Cleaning"/>
    <x v="0"/>
    <x v="137"/>
    <n v="3"/>
    <n v="0"/>
    <x v="187"/>
    <x v="4"/>
    <x v="1"/>
    <x v="1"/>
  </r>
  <r>
    <x v="188"/>
    <x v="166"/>
    <x v="129"/>
    <x v="1"/>
    <x v="1"/>
    <x v="1"/>
    <x v="0"/>
    <s v="Kitchen"/>
    <x v="18"/>
    <x v="81"/>
    <n v="6"/>
    <n v="0.1"/>
    <x v="188"/>
    <x v="4"/>
    <x v="0"/>
    <x v="0"/>
  </r>
  <r>
    <x v="189"/>
    <x v="76"/>
    <x v="140"/>
    <x v="10"/>
    <x v="8"/>
    <x v="3"/>
    <x v="3"/>
    <s v="Stationery"/>
    <x v="15"/>
    <x v="6"/>
    <n v="6"/>
    <n v="0.1"/>
    <x v="189"/>
    <x v="2"/>
    <x v="2"/>
    <x v="2"/>
  </r>
  <r>
    <x v="190"/>
    <x v="167"/>
    <x v="141"/>
    <x v="13"/>
    <x v="3"/>
    <x v="0"/>
    <x v="4"/>
    <s v="Storage"/>
    <x v="14"/>
    <x v="87"/>
    <n v="4"/>
    <n v="0.1"/>
    <x v="190"/>
    <x v="4"/>
    <x v="4"/>
    <x v="0"/>
  </r>
  <r>
    <x v="191"/>
    <x v="168"/>
    <x v="87"/>
    <x v="14"/>
    <x v="10"/>
    <x v="0"/>
    <x v="1"/>
    <s v="Mobiles"/>
    <x v="6"/>
    <x v="138"/>
    <n v="1"/>
    <n v="0.1"/>
    <x v="191"/>
    <x v="2"/>
    <x v="8"/>
    <x v="2"/>
  </r>
  <r>
    <x v="192"/>
    <x v="169"/>
    <x v="89"/>
    <x v="13"/>
    <x v="3"/>
    <x v="0"/>
    <x v="1"/>
    <s v="Laptops"/>
    <x v="19"/>
    <x v="139"/>
    <n v="1"/>
    <n v="0"/>
    <x v="192"/>
    <x v="2"/>
    <x v="7"/>
    <x v="2"/>
  </r>
  <r>
    <x v="193"/>
    <x v="69"/>
    <x v="115"/>
    <x v="11"/>
    <x v="3"/>
    <x v="0"/>
    <x v="4"/>
    <s v="Chairs"/>
    <x v="10"/>
    <x v="78"/>
    <n v="4"/>
    <n v="0.15"/>
    <x v="193"/>
    <x v="1"/>
    <x v="1"/>
    <x v="2"/>
  </r>
  <r>
    <x v="194"/>
    <x v="170"/>
    <x v="142"/>
    <x v="15"/>
    <x v="11"/>
    <x v="2"/>
    <x v="3"/>
    <s v="Stationery"/>
    <x v="15"/>
    <x v="95"/>
    <n v="2"/>
    <n v="0"/>
    <x v="194"/>
    <x v="1"/>
    <x v="8"/>
    <x v="2"/>
  </r>
  <r>
    <x v="195"/>
    <x v="171"/>
    <x v="143"/>
    <x v="4"/>
    <x v="3"/>
    <x v="0"/>
    <x v="1"/>
    <s v="Accessories"/>
    <x v="2"/>
    <x v="27"/>
    <n v="2"/>
    <n v="0.15"/>
    <x v="195"/>
    <x v="2"/>
    <x v="7"/>
    <x v="1"/>
  </r>
  <r>
    <x v="196"/>
    <x v="172"/>
    <x v="144"/>
    <x v="13"/>
    <x v="3"/>
    <x v="0"/>
    <x v="1"/>
    <s v="Laptops"/>
    <x v="17"/>
    <x v="74"/>
    <n v="3"/>
    <n v="0.05"/>
    <x v="196"/>
    <x v="2"/>
    <x v="2"/>
    <x v="0"/>
  </r>
  <r>
    <x v="197"/>
    <x v="23"/>
    <x v="80"/>
    <x v="13"/>
    <x v="3"/>
    <x v="0"/>
    <x v="3"/>
    <s v="Organizers"/>
    <x v="20"/>
    <x v="140"/>
    <n v="5"/>
    <n v="0"/>
    <x v="197"/>
    <x v="2"/>
    <x v="3"/>
    <x v="1"/>
  </r>
  <r>
    <x v="198"/>
    <x v="173"/>
    <x v="145"/>
    <x v="8"/>
    <x v="6"/>
    <x v="4"/>
    <x v="4"/>
    <s v="Storage"/>
    <x v="14"/>
    <x v="141"/>
    <n v="2"/>
    <n v="0.15"/>
    <x v="198"/>
    <x v="4"/>
    <x v="1"/>
    <x v="0"/>
  </r>
  <r>
    <x v="199"/>
    <x v="174"/>
    <x v="145"/>
    <x v="15"/>
    <x v="11"/>
    <x v="2"/>
    <x v="4"/>
    <s v="Tables"/>
    <x v="7"/>
    <x v="85"/>
    <n v="1"/>
    <n v="0.15"/>
    <x v="199"/>
    <x v="0"/>
    <x v="1"/>
    <x v="1"/>
  </r>
  <r>
    <x v="200"/>
    <x v="175"/>
    <x v="146"/>
    <x v="5"/>
    <x v="4"/>
    <x v="3"/>
    <x v="0"/>
    <s v="Kitchen"/>
    <x v="18"/>
    <x v="6"/>
    <n v="1"/>
    <n v="0.1"/>
    <x v="200"/>
    <x v="1"/>
    <x v="8"/>
    <x v="0"/>
  </r>
  <r>
    <x v="201"/>
    <x v="129"/>
    <x v="53"/>
    <x v="15"/>
    <x v="11"/>
    <x v="2"/>
    <x v="2"/>
    <s v="Women"/>
    <x v="3"/>
    <x v="142"/>
    <n v="1"/>
    <n v="0"/>
    <x v="201"/>
    <x v="1"/>
    <x v="5"/>
    <x v="2"/>
  </r>
  <r>
    <x v="202"/>
    <x v="176"/>
    <x v="43"/>
    <x v="10"/>
    <x v="8"/>
    <x v="3"/>
    <x v="2"/>
    <s v="Women"/>
    <x v="4"/>
    <x v="143"/>
    <n v="3"/>
    <n v="0"/>
    <x v="202"/>
    <x v="1"/>
    <x v="1"/>
    <x v="2"/>
  </r>
  <r>
    <x v="203"/>
    <x v="177"/>
    <x v="53"/>
    <x v="6"/>
    <x v="1"/>
    <x v="1"/>
    <x v="2"/>
    <s v="Women"/>
    <x v="3"/>
    <x v="144"/>
    <n v="1"/>
    <n v="0.1"/>
    <x v="203"/>
    <x v="2"/>
    <x v="3"/>
    <x v="0"/>
  </r>
  <r>
    <x v="204"/>
    <x v="178"/>
    <x v="132"/>
    <x v="12"/>
    <x v="9"/>
    <x v="0"/>
    <x v="1"/>
    <s v="Mobiles"/>
    <x v="6"/>
    <x v="145"/>
    <n v="2"/>
    <n v="0.2"/>
    <x v="204"/>
    <x v="2"/>
    <x v="1"/>
    <x v="0"/>
  </r>
  <r>
    <x v="205"/>
    <x v="133"/>
    <x v="147"/>
    <x v="13"/>
    <x v="3"/>
    <x v="0"/>
    <x v="0"/>
    <s v="Kitchen"/>
    <x v="18"/>
    <x v="62"/>
    <n v="5"/>
    <n v="0.1"/>
    <x v="205"/>
    <x v="4"/>
    <x v="1"/>
    <x v="2"/>
  </r>
  <r>
    <x v="206"/>
    <x v="89"/>
    <x v="148"/>
    <x v="14"/>
    <x v="10"/>
    <x v="0"/>
    <x v="3"/>
    <s v="Organizers"/>
    <x v="20"/>
    <x v="146"/>
    <n v="6"/>
    <n v="0.05"/>
    <x v="206"/>
    <x v="2"/>
    <x v="9"/>
    <x v="2"/>
  </r>
  <r>
    <x v="207"/>
    <x v="179"/>
    <x v="149"/>
    <x v="7"/>
    <x v="5"/>
    <x v="1"/>
    <x v="4"/>
    <s v="Storage"/>
    <x v="14"/>
    <x v="147"/>
    <n v="5"/>
    <n v="0.2"/>
    <x v="207"/>
    <x v="0"/>
    <x v="6"/>
    <x v="0"/>
  </r>
  <r>
    <x v="208"/>
    <x v="13"/>
    <x v="78"/>
    <x v="15"/>
    <x v="11"/>
    <x v="2"/>
    <x v="4"/>
    <s v="Chairs"/>
    <x v="10"/>
    <x v="35"/>
    <n v="6"/>
    <n v="0.1"/>
    <x v="208"/>
    <x v="3"/>
    <x v="8"/>
    <x v="0"/>
  </r>
  <r>
    <x v="209"/>
    <x v="180"/>
    <x v="150"/>
    <x v="3"/>
    <x v="3"/>
    <x v="0"/>
    <x v="1"/>
    <s v="Accessories"/>
    <x v="2"/>
    <x v="6"/>
    <n v="1"/>
    <n v="0.1"/>
    <x v="209"/>
    <x v="2"/>
    <x v="7"/>
    <x v="1"/>
  </r>
  <r>
    <x v="210"/>
    <x v="181"/>
    <x v="26"/>
    <x v="1"/>
    <x v="1"/>
    <x v="1"/>
    <x v="2"/>
    <s v="Men"/>
    <x v="21"/>
    <x v="148"/>
    <n v="4"/>
    <n v="0.1"/>
    <x v="210"/>
    <x v="2"/>
    <x v="7"/>
    <x v="1"/>
  </r>
  <r>
    <x v="211"/>
    <x v="118"/>
    <x v="37"/>
    <x v="14"/>
    <x v="10"/>
    <x v="0"/>
    <x v="3"/>
    <s v="Organizers"/>
    <x v="20"/>
    <x v="149"/>
    <n v="3"/>
    <n v="0.1"/>
    <x v="211"/>
    <x v="0"/>
    <x v="2"/>
    <x v="1"/>
  </r>
  <r>
    <x v="212"/>
    <x v="37"/>
    <x v="19"/>
    <x v="3"/>
    <x v="3"/>
    <x v="0"/>
    <x v="1"/>
    <s v="Mobiles"/>
    <x v="1"/>
    <x v="150"/>
    <n v="4"/>
    <n v="0.2"/>
    <x v="212"/>
    <x v="3"/>
    <x v="1"/>
    <x v="2"/>
  </r>
  <r>
    <x v="213"/>
    <x v="20"/>
    <x v="89"/>
    <x v="5"/>
    <x v="4"/>
    <x v="3"/>
    <x v="0"/>
    <s v="Kitchen"/>
    <x v="18"/>
    <x v="34"/>
    <n v="1"/>
    <n v="0.05"/>
    <x v="213"/>
    <x v="1"/>
    <x v="6"/>
    <x v="0"/>
  </r>
  <r>
    <x v="214"/>
    <x v="182"/>
    <x v="151"/>
    <x v="2"/>
    <x v="2"/>
    <x v="2"/>
    <x v="2"/>
    <s v="Men"/>
    <x v="11"/>
    <x v="151"/>
    <n v="1"/>
    <n v="0"/>
    <x v="214"/>
    <x v="1"/>
    <x v="0"/>
    <x v="2"/>
  </r>
  <r>
    <x v="215"/>
    <x v="183"/>
    <x v="34"/>
    <x v="12"/>
    <x v="9"/>
    <x v="0"/>
    <x v="1"/>
    <s v="Mobiles"/>
    <x v="6"/>
    <x v="152"/>
    <n v="4"/>
    <n v="0.15"/>
    <x v="215"/>
    <x v="0"/>
    <x v="6"/>
    <x v="1"/>
  </r>
  <r>
    <x v="216"/>
    <x v="184"/>
    <x v="152"/>
    <x v="13"/>
    <x v="3"/>
    <x v="0"/>
    <x v="2"/>
    <s v="Women"/>
    <x v="3"/>
    <x v="153"/>
    <n v="1"/>
    <n v="0.15"/>
    <x v="216"/>
    <x v="3"/>
    <x v="9"/>
    <x v="0"/>
  </r>
  <r>
    <x v="217"/>
    <x v="112"/>
    <x v="153"/>
    <x v="7"/>
    <x v="5"/>
    <x v="1"/>
    <x v="4"/>
    <s v="Tables"/>
    <x v="7"/>
    <x v="154"/>
    <n v="6"/>
    <n v="0.05"/>
    <x v="217"/>
    <x v="2"/>
    <x v="5"/>
    <x v="2"/>
  </r>
  <r>
    <x v="218"/>
    <x v="185"/>
    <x v="32"/>
    <x v="12"/>
    <x v="9"/>
    <x v="0"/>
    <x v="0"/>
    <s v="Kitchen"/>
    <x v="18"/>
    <x v="66"/>
    <n v="6"/>
    <n v="0.05"/>
    <x v="218"/>
    <x v="2"/>
    <x v="0"/>
    <x v="2"/>
  </r>
  <r>
    <x v="219"/>
    <x v="186"/>
    <x v="87"/>
    <x v="0"/>
    <x v="0"/>
    <x v="0"/>
    <x v="3"/>
    <s v="Stationery"/>
    <x v="5"/>
    <x v="155"/>
    <n v="3"/>
    <n v="0.1"/>
    <x v="219"/>
    <x v="0"/>
    <x v="0"/>
    <x v="2"/>
  </r>
  <r>
    <x v="220"/>
    <x v="187"/>
    <x v="149"/>
    <x v="2"/>
    <x v="2"/>
    <x v="2"/>
    <x v="1"/>
    <s v="Laptops"/>
    <x v="19"/>
    <x v="52"/>
    <n v="4"/>
    <n v="0.05"/>
    <x v="220"/>
    <x v="3"/>
    <x v="0"/>
    <x v="1"/>
  </r>
  <r>
    <x v="221"/>
    <x v="188"/>
    <x v="154"/>
    <x v="15"/>
    <x v="11"/>
    <x v="2"/>
    <x v="4"/>
    <s v="Tables"/>
    <x v="7"/>
    <x v="156"/>
    <n v="1"/>
    <n v="0.2"/>
    <x v="221"/>
    <x v="2"/>
    <x v="8"/>
    <x v="0"/>
  </r>
  <r>
    <x v="222"/>
    <x v="189"/>
    <x v="149"/>
    <x v="8"/>
    <x v="6"/>
    <x v="4"/>
    <x v="0"/>
    <s v="Kitchen"/>
    <x v="8"/>
    <x v="42"/>
    <n v="5"/>
    <n v="0"/>
    <x v="222"/>
    <x v="3"/>
    <x v="5"/>
    <x v="1"/>
  </r>
  <r>
    <x v="223"/>
    <x v="190"/>
    <x v="155"/>
    <x v="12"/>
    <x v="9"/>
    <x v="0"/>
    <x v="2"/>
    <s v="Women"/>
    <x v="3"/>
    <x v="157"/>
    <n v="5"/>
    <n v="0.1"/>
    <x v="223"/>
    <x v="1"/>
    <x v="8"/>
    <x v="1"/>
  </r>
  <r>
    <x v="224"/>
    <x v="191"/>
    <x v="156"/>
    <x v="13"/>
    <x v="3"/>
    <x v="0"/>
    <x v="4"/>
    <s v="Chairs"/>
    <x v="10"/>
    <x v="158"/>
    <n v="5"/>
    <n v="0.1"/>
    <x v="224"/>
    <x v="2"/>
    <x v="0"/>
    <x v="1"/>
  </r>
  <r>
    <x v="225"/>
    <x v="192"/>
    <x v="157"/>
    <x v="5"/>
    <x v="4"/>
    <x v="3"/>
    <x v="3"/>
    <s v="Stationery"/>
    <x v="15"/>
    <x v="159"/>
    <n v="4"/>
    <n v="0.2"/>
    <x v="225"/>
    <x v="1"/>
    <x v="4"/>
    <x v="2"/>
  </r>
  <r>
    <x v="226"/>
    <x v="193"/>
    <x v="158"/>
    <x v="10"/>
    <x v="8"/>
    <x v="3"/>
    <x v="3"/>
    <s v="Stationery"/>
    <x v="15"/>
    <x v="57"/>
    <n v="3"/>
    <n v="0"/>
    <x v="226"/>
    <x v="3"/>
    <x v="3"/>
    <x v="1"/>
  </r>
  <r>
    <x v="227"/>
    <x v="194"/>
    <x v="159"/>
    <x v="4"/>
    <x v="3"/>
    <x v="0"/>
    <x v="4"/>
    <s v="Chairs"/>
    <x v="10"/>
    <x v="160"/>
    <n v="1"/>
    <n v="0.1"/>
    <x v="227"/>
    <x v="2"/>
    <x v="5"/>
    <x v="1"/>
  </r>
  <r>
    <x v="228"/>
    <x v="195"/>
    <x v="11"/>
    <x v="0"/>
    <x v="0"/>
    <x v="0"/>
    <x v="0"/>
    <s v="Kitchen"/>
    <x v="8"/>
    <x v="161"/>
    <n v="6"/>
    <n v="0.05"/>
    <x v="228"/>
    <x v="1"/>
    <x v="5"/>
    <x v="2"/>
  </r>
  <r>
    <x v="229"/>
    <x v="196"/>
    <x v="160"/>
    <x v="4"/>
    <x v="3"/>
    <x v="0"/>
    <x v="2"/>
    <s v="Men"/>
    <x v="11"/>
    <x v="151"/>
    <n v="1"/>
    <n v="0"/>
    <x v="229"/>
    <x v="1"/>
    <x v="3"/>
    <x v="0"/>
  </r>
  <r>
    <x v="230"/>
    <x v="197"/>
    <x v="156"/>
    <x v="5"/>
    <x v="4"/>
    <x v="3"/>
    <x v="2"/>
    <s v="Men"/>
    <x v="21"/>
    <x v="162"/>
    <n v="5"/>
    <n v="0.05"/>
    <x v="230"/>
    <x v="4"/>
    <x v="6"/>
    <x v="2"/>
  </r>
  <r>
    <x v="231"/>
    <x v="144"/>
    <x v="105"/>
    <x v="7"/>
    <x v="5"/>
    <x v="1"/>
    <x v="1"/>
    <s v="Accessories"/>
    <x v="2"/>
    <x v="36"/>
    <n v="5"/>
    <n v="0.15"/>
    <x v="231"/>
    <x v="1"/>
    <x v="0"/>
    <x v="1"/>
  </r>
  <r>
    <x v="232"/>
    <x v="7"/>
    <x v="12"/>
    <x v="6"/>
    <x v="1"/>
    <x v="1"/>
    <x v="1"/>
    <s v="Mobiles"/>
    <x v="1"/>
    <x v="163"/>
    <n v="4"/>
    <n v="0.15"/>
    <x v="232"/>
    <x v="0"/>
    <x v="2"/>
    <x v="1"/>
  </r>
  <r>
    <x v="233"/>
    <x v="198"/>
    <x v="98"/>
    <x v="3"/>
    <x v="3"/>
    <x v="0"/>
    <x v="2"/>
    <s v="Men"/>
    <x v="21"/>
    <x v="164"/>
    <n v="2"/>
    <n v="0.1"/>
    <x v="233"/>
    <x v="3"/>
    <x v="6"/>
    <x v="1"/>
  </r>
  <r>
    <x v="234"/>
    <x v="96"/>
    <x v="128"/>
    <x v="10"/>
    <x v="8"/>
    <x v="3"/>
    <x v="1"/>
    <s v="Accessories"/>
    <x v="2"/>
    <x v="165"/>
    <n v="2"/>
    <n v="0"/>
    <x v="234"/>
    <x v="4"/>
    <x v="6"/>
    <x v="2"/>
  </r>
  <r>
    <x v="235"/>
    <x v="199"/>
    <x v="79"/>
    <x v="2"/>
    <x v="2"/>
    <x v="2"/>
    <x v="3"/>
    <s v="Paper"/>
    <x v="12"/>
    <x v="33"/>
    <n v="1"/>
    <n v="0.1"/>
    <x v="235"/>
    <x v="2"/>
    <x v="8"/>
    <x v="2"/>
  </r>
  <r>
    <x v="236"/>
    <x v="200"/>
    <x v="81"/>
    <x v="0"/>
    <x v="0"/>
    <x v="0"/>
    <x v="3"/>
    <s v="Stationery"/>
    <x v="15"/>
    <x v="166"/>
    <n v="2"/>
    <n v="0.1"/>
    <x v="236"/>
    <x v="1"/>
    <x v="9"/>
    <x v="0"/>
  </r>
  <r>
    <x v="237"/>
    <x v="201"/>
    <x v="161"/>
    <x v="8"/>
    <x v="6"/>
    <x v="4"/>
    <x v="1"/>
    <s v="Mobiles"/>
    <x v="6"/>
    <x v="167"/>
    <n v="1"/>
    <n v="0"/>
    <x v="237"/>
    <x v="2"/>
    <x v="6"/>
    <x v="2"/>
  </r>
  <r>
    <x v="238"/>
    <x v="202"/>
    <x v="77"/>
    <x v="11"/>
    <x v="3"/>
    <x v="0"/>
    <x v="2"/>
    <s v="Men"/>
    <x v="11"/>
    <x v="54"/>
    <n v="5"/>
    <n v="0.1"/>
    <x v="238"/>
    <x v="1"/>
    <x v="7"/>
    <x v="2"/>
  </r>
  <r>
    <x v="239"/>
    <x v="203"/>
    <x v="162"/>
    <x v="12"/>
    <x v="9"/>
    <x v="0"/>
    <x v="4"/>
    <s v="Chairs"/>
    <x v="10"/>
    <x v="60"/>
    <n v="4"/>
    <n v="0.1"/>
    <x v="239"/>
    <x v="3"/>
    <x v="8"/>
    <x v="0"/>
  </r>
  <r>
    <x v="240"/>
    <x v="204"/>
    <x v="71"/>
    <x v="10"/>
    <x v="8"/>
    <x v="3"/>
    <x v="4"/>
    <s v="Storage"/>
    <x v="14"/>
    <x v="168"/>
    <n v="6"/>
    <n v="0"/>
    <x v="240"/>
    <x v="4"/>
    <x v="6"/>
    <x v="1"/>
  </r>
  <r>
    <x v="241"/>
    <x v="189"/>
    <x v="163"/>
    <x v="10"/>
    <x v="8"/>
    <x v="3"/>
    <x v="4"/>
    <s v="Chairs"/>
    <x v="10"/>
    <x v="158"/>
    <n v="5"/>
    <n v="0.1"/>
    <x v="241"/>
    <x v="0"/>
    <x v="0"/>
    <x v="2"/>
  </r>
  <r>
    <x v="242"/>
    <x v="90"/>
    <x v="164"/>
    <x v="10"/>
    <x v="8"/>
    <x v="3"/>
    <x v="2"/>
    <s v="Women"/>
    <x v="4"/>
    <x v="148"/>
    <n v="4"/>
    <n v="0.2"/>
    <x v="242"/>
    <x v="4"/>
    <x v="4"/>
    <x v="2"/>
  </r>
  <r>
    <x v="243"/>
    <x v="205"/>
    <x v="20"/>
    <x v="4"/>
    <x v="3"/>
    <x v="0"/>
    <x v="1"/>
    <s v="Accessories"/>
    <x v="16"/>
    <x v="9"/>
    <n v="6"/>
    <n v="0.1"/>
    <x v="243"/>
    <x v="0"/>
    <x v="8"/>
    <x v="2"/>
  </r>
  <r>
    <x v="244"/>
    <x v="206"/>
    <x v="129"/>
    <x v="14"/>
    <x v="10"/>
    <x v="0"/>
    <x v="0"/>
    <s v="Cooling"/>
    <x v="13"/>
    <x v="58"/>
    <n v="3"/>
    <n v="0.15"/>
    <x v="244"/>
    <x v="0"/>
    <x v="3"/>
    <x v="2"/>
  </r>
  <r>
    <x v="245"/>
    <x v="207"/>
    <x v="3"/>
    <x v="11"/>
    <x v="3"/>
    <x v="0"/>
    <x v="0"/>
    <s v="Kitchen"/>
    <x v="18"/>
    <x v="143"/>
    <n v="3"/>
    <n v="0"/>
    <x v="245"/>
    <x v="0"/>
    <x v="7"/>
    <x v="0"/>
  </r>
  <r>
    <x v="246"/>
    <x v="84"/>
    <x v="165"/>
    <x v="0"/>
    <x v="0"/>
    <x v="0"/>
    <x v="1"/>
    <s v="Laptops"/>
    <x v="19"/>
    <x v="136"/>
    <n v="4"/>
    <n v="0.1"/>
    <x v="246"/>
    <x v="2"/>
    <x v="0"/>
    <x v="1"/>
  </r>
  <r>
    <x v="247"/>
    <x v="208"/>
    <x v="166"/>
    <x v="14"/>
    <x v="10"/>
    <x v="0"/>
    <x v="4"/>
    <s v="Chairs"/>
    <x v="10"/>
    <x v="35"/>
    <n v="6"/>
    <n v="0.1"/>
    <x v="247"/>
    <x v="1"/>
    <x v="8"/>
    <x v="2"/>
  </r>
  <r>
    <x v="248"/>
    <x v="209"/>
    <x v="48"/>
    <x v="2"/>
    <x v="2"/>
    <x v="2"/>
    <x v="3"/>
    <s v="Organizers"/>
    <x v="20"/>
    <x v="149"/>
    <n v="3"/>
    <n v="0.1"/>
    <x v="248"/>
    <x v="1"/>
    <x v="3"/>
    <x v="2"/>
  </r>
  <r>
    <x v="249"/>
    <x v="176"/>
    <x v="167"/>
    <x v="11"/>
    <x v="3"/>
    <x v="0"/>
    <x v="3"/>
    <s v="Stationery"/>
    <x v="5"/>
    <x v="107"/>
    <n v="3"/>
    <n v="0.05"/>
    <x v="249"/>
    <x v="0"/>
    <x v="7"/>
    <x v="0"/>
  </r>
  <r>
    <x v="250"/>
    <x v="49"/>
    <x v="139"/>
    <x v="4"/>
    <x v="3"/>
    <x v="0"/>
    <x v="0"/>
    <s v="Kitchen"/>
    <x v="18"/>
    <x v="81"/>
    <n v="6"/>
    <n v="0.1"/>
    <x v="250"/>
    <x v="3"/>
    <x v="4"/>
    <x v="1"/>
  </r>
  <r>
    <x v="251"/>
    <x v="122"/>
    <x v="63"/>
    <x v="11"/>
    <x v="3"/>
    <x v="0"/>
    <x v="1"/>
    <s v="Accessories"/>
    <x v="2"/>
    <x v="9"/>
    <n v="3"/>
    <n v="0.1"/>
    <x v="251"/>
    <x v="0"/>
    <x v="2"/>
    <x v="0"/>
  </r>
  <r>
    <x v="252"/>
    <x v="210"/>
    <x v="113"/>
    <x v="11"/>
    <x v="3"/>
    <x v="0"/>
    <x v="0"/>
    <s v="Kitchen"/>
    <x v="18"/>
    <x v="6"/>
    <n v="1"/>
    <n v="0.1"/>
    <x v="252"/>
    <x v="3"/>
    <x v="4"/>
    <x v="2"/>
  </r>
  <r>
    <x v="253"/>
    <x v="29"/>
    <x v="168"/>
    <x v="10"/>
    <x v="8"/>
    <x v="3"/>
    <x v="1"/>
    <s v="Accessories"/>
    <x v="2"/>
    <x v="165"/>
    <n v="2"/>
    <n v="0"/>
    <x v="253"/>
    <x v="4"/>
    <x v="4"/>
    <x v="1"/>
  </r>
  <r>
    <x v="254"/>
    <x v="211"/>
    <x v="132"/>
    <x v="10"/>
    <x v="8"/>
    <x v="3"/>
    <x v="3"/>
    <s v="Paper"/>
    <x v="12"/>
    <x v="169"/>
    <n v="4"/>
    <n v="0.15"/>
    <x v="254"/>
    <x v="1"/>
    <x v="5"/>
    <x v="2"/>
  </r>
  <r>
    <x v="255"/>
    <x v="212"/>
    <x v="93"/>
    <x v="2"/>
    <x v="2"/>
    <x v="2"/>
    <x v="2"/>
    <s v="Men"/>
    <x v="21"/>
    <x v="110"/>
    <n v="3"/>
    <n v="0.05"/>
    <x v="255"/>
    <x v="2"/>
    <x v="3"/>
    <x v="1"/>
  </r>
  <r>
    <x v="256"/>
    <x v="213"/>
    <x v="169"/>
    <x v="13"/>
    <x v="3"/>
    <x v="0"/>
    <x v="3"/>
    <s v="Stationery"/>
    <x v="15"/>
    <x v="6"/>
    <n v="6"/>
    <n v="0.1"/>
    <x v="256"/>
    <x v="3"/>
    <x v="9"/>
    <x v="1"/>
  </r>
  <r>
    <x v="257"/>
    <x v="214"/>
    <x v="170"/>
    <x v="5"/>
    <x v="4"/>
    <x v="3"/>
    <x v="3"/>
    <s v="Stationery"/>
    <x v="15"/>
    <x v="95"/>
    <n v="2"/>
    <n v="0"/>
    <x v="257"/>
    <x v="1"/>
    <x v="5"/>
    <x v="1"/>
  </r>
  <r>
    <x v="258"/>
    <x v="120"/>
    <x v="171"/>
    <x v="10"/>
    <x v="8"/>
    <x v="3"/>
    <x v="1"/>
    <s v="Accessories"/>
    <x v="2"/>
    <x v="170"/>
    <n v="6"/>
    <n v="0.15"/>
    <x v="258"/>
    <x v="1"/>
    <x v="2"/>
    <x v="2"/>
  </r>
  <r>
    <x v="259"/>
    <x v="215"/>
    <x v="152"/>
    <x v="7"/>
    <x v="5"/>
    <x v="1"/>
    <x v="4"/>
    <s v="Storage"/>
    <x v="14"/>
    <x v="171"/>
    <n v="2"/>
    <n v="0.05"/>
    <x v="259"/>
    <x v="2"/>
    <x v="8"/>
    <x v="2"/>
  </r>
  <r>
    <x v="260"/>
    <x v="216"/>
    <x v="172"/>
    <x v="11"/>
    <x v="3"/>
    <x v="0"/>
    <x v="0"/>
    <s v="Kitchen"/>
    <x v="18"/>
    <x v="98"/>
    <n v="5"/>
    <n v="0.05"/>
    <x v="260"/>
    <x v="0"/>
    <x v="5"/>
    <x v="0"/>
  </r>
  <r>
    <x v="261"/>
    <x v="128"/>
    <x v="64"/>
    <x v="11"/>
    <x v="3"/>
    <x v="0"/>
    <x v="0"/>
    <s v="Kitchen"/>
    <x v="8"/>
    <x v="161"/>
    <n v="6"/>
    <n v="0.05"/>
    <x v="261"/>
    <x v="0"/>
    <x v="7"/>
    <x v="0"/>
  </r>
  <r>
    <x v="262"/>
    <x v="134"/>
    <x v="173"/>
    <x v="5"/>
    <x v="4"/>
    <x v="3"/>
    <x v="2"/>
    <s v="Men"/>
    <x v="11"/>
    <x v="37"/>
    <n v="2"/>
    <n v="0.1"/>
    <x v="262"/>
    <x v="4"/>
    <x v="6"/>
    <x v="2"/>
  </r>
  <r>
    <x v="263"/>
    <x v="217"/>
    <x v="174"/>
    <x v="13"/>
    <x v="3"/>
    <x v="0"/>
    <x v="2"/>
    <s v="Women"/>
    <x v="3"/>
    <x v="144"/>
    <n v="1"/>
    <n v="0.1"/>
    <x v="263"/>
    <x v="0"/>
    <x v="4"/>
    <x v="2"/>
  </r>
  <r>
    <x v="264"/>
    <x v="218"/>
    <x v="123"/>
    <x v="12"/>
    <x v="9"/>
    <x v="0"/>
    <x v="2"/>
    <s v="Women"/>
    <x v="3"/>
    <x v="4"/>
    <n v="2"/>
    <n v="0.1"/>
    <x v="264"/>
    <x v="1"/>
    <x v="0"/>
    <x v="2"/>
  </r>
  <r>
    <x v="265"/>
    <x v="219"/>
    <x v="175"/>
    <x v="5"/>
    <x v="4"/>
    <x v="3"/>
    <x v="1"/>
    <s v="Accessories"/>
    <x v="16"/>
    <x v="172"/>
    <n v="1"/>
    <n v="0.15"/>
    <x v="265"/>
    <x v="0"/>
    <x v="6"/>
    <x v="1"/>
  </r>
  <r>
    <x v="266"/>
    <x v="220"/>
    <x v="176"/>
    <x v="12"/>
    <x v="9"/>
    <x v="0"/>
    <x v="0"/>
    <s v="Kitchen"/>
    <x v="8"/>
    <x v="173"/>
    <n v="4"/>
    <n v="0.15"/>
    <x v="266"/>
    <x v="2"/>
    <x v="3"/>
    <x v="2"/>
  </r>
  <r>
    <x v="267"/>
    <x v="110"/>
    <x v="177"/>
    <x v="7"/>
    <x v="5"/>
    <x v="1"/>
    <x v="2"/>
    <s v="Women"/>
    <x v="4"/>
    <x v="72"/>
    <n v="4"/>
    <n v="0.05"/>
    <x v="267"/>
    <x v="2"/>
    <x v="1"/>
    <x v="0"/>
  </r>
  <r>
    <x v="268"/>
    <x v="115"/>
    <x v="70"/>
    <x v="1"/>
    <x v="1"/>
    <x v="1"/>
    <x v="1"/>
    <s v="Mobiles"/>
    <x v="6"/>
    <x v="174"/>
    <n v="6"/>
    <n v="0.05"/>
    <x v="268"/>
    <x v="4"/>
    <x v="9"/>
    <x v="2"/>
  </r>
  <r>
    <x v="269"/>
    <x v="221"/>
    <x v="103"/>
    <x v="2"/>
    <x v="2"/>
    <x v="2"/>
    <x v="3"/>
    <s v="Organizers"/>
    <x v="20"/>
    <x v="149"/>
    <n v="3"/>
    <n v="0.1"/>
    <x v="269"/>
    <x v="1"/>
    <x v="9"/>
    <x v="2"/>
  </r>
  <r>
    <x v="270"/>
    <x v="102"/>
    <x v="121"/>
    <x v="12"/>
    <x v="9"/>
    <x v="0"/>
    <x v="3"/>
    <s v="Stationery"/>
    <x v="15"/>
    <x v="18"/>
    <n v="3"/>
    <n v="0.05"/>
    <x v="270"/>
    <x v="0"/>
    <x v="9"/>
    <x v="1"/>
  </r>
  <r>
    <x v="271"/>
    <x v="218"/>
    <x v="68"/>
    <x v="13"/>
    <x v="3"/>
    <x v="0"/>
    <x v="2"/>
    <s v="Men"/>
    <x v="21"/>
    <x v="112"/>
    <n v="5"/>
    <n v="0.1"/>
    <x v="271"/>
    <x v="3"/>
    <x v="1"/>
    <x v="0"/>
  </r>
  <r>
    <x v="272"/>
    <x v="222"/>
    <x v="86"/>
    <x v="9"/>
    <x v="7"/>
    <x v="2"/>
    <x v="2"/>
    <s v="Men"/>
    <x v="21"/>
    <x v="175"/>
    <n v="2"/>
    <n v="0.05"/>
    <x v="272"/>
    <x v="2"/>
    <x v="5"/>
    <x v="2"/>
  </r>
  <r>
    <x v="273"/>
    <x v="109"/>
    <x v="17"/>
    <x v="14"/>
    <x v="10"/>
    <x v="0"/>
    <x v="2"/>
    <s v="Women"/>
    <x v="3"/>
    <x v="176"/>
    <n v="6"/>
    <n v="0.1"/>
    <x v="273"/>
    <x v="0"/>
    <x v="0"/>
    <x v="2"/>
  </r>
  <r>
    <x v="274"/>
    <x v="223"/>
    <x v="22"/>
    <x v="7"/>
    <x v="5"/>
    <x v="1"/>
    <x v="1"/>
    <s v="Laptops"/>
    <x v="19"/>
    <x v="177"/>
    <n v="2"/>
    <n v="0.05"/>
    <x v="274"/>
    <x v="4"/>
    <x v="1"/>
    <x v="1"/>
  </r>
  <r>
    <x v="275"/>
    <x v="224"/>
    <x v="178"/>
    <x v="10"/>
    <x v="8"/>
    <x v="3"/>
    <x v="3"/>
    <s v="Paper"/>
    <x v="12"/>
    <x v="20"/>
    <n v="6"/>
    <n v="0.15"/>
    <x v="275"/>
    <x v="3"/>
    <x v="4"/>
    <x v="0"/>
  </r>
  <r>
    <x v="276"/>
    <x v="10"/>
    <x v="97"/>
    <x v="14"/>
    <x v="10"/>
    <x v="0"/>
    <x v="1"/>
    <s v="Accessories"/>
    <x v="2"/>
    <x v="44"/>
    <n v="1"/>
    <n v="0"/>
    <x v="276"/>
    <x v="0"/>
    <x v="2"/>
    <x v="1"/>
  </r>
  <r>
    <x v="277"/>
    <x v="100"/>
    <x v="30"/>
    <x v="4"/>
    <x v="3"/>
    <x v="0"/>
    <x v="1"/>
    <s v="Accessories"/>
    <x v="2"/>
    <x v="54"/>
    <n v="6"/>
    <n v="0"/>
    <x v="277"/>
    <x v="3"/>
    <x v="6"/>
    <x v="1"/>
  </r>
  <r>
    <x v="278"/>
    <x v="130"/>
    <x v="138"/>
    <x v="3"/>
    <x v="3"/>
    <x v="0"/>
    <x v="0"/>
    <s v="Kitchen"/>
    <x v="8"/>
    <x v="178"/>
    <n v="2"/>
    <n v="0.1"/>
    <x v="278"/>
    <x v="3"/>
    <x v="0"/>
    <x v="1"/>
  </r>
  <r>
    <x v="279"/>
    <x v="225"/>
    <x v="179"/>
    <x v="1"/>
    <x v="1"/>
    <x v="1"/>
    <x v="2"/>
    <s v="Women"/>
    <x v="3"/>
    <x v="153"/>
    <n v="1"/>
    <n v="0.15"/>
    <x v="279"/>
    <x v="3"/>
    <x v="6"/>
    <x v="1"/>
  </r>
  <r>
    <x v="280"/>
    <x v="226"/>
    <x v="180"/>
    <x v="5"/>
    <x v="4"/>
    <x v="3"/>
    <x v="1"/>
    <s v="Mobiles"/>
    <x v="6"/>
    <x v="174"/>
    <n v="6"/>
    <n v="0.05"/>
    <x v="280"/>
    <x v="2"/>
    <x v="2"/>
    <x v="1"/>
  </r>
  <r>
    <x v="281"/>
    <x v="227"/>
    <x v="55"/>
    <x v="12"/>
    <x v="9"/>
    <x v="0"/>
    <x v="2"/>
    <s v="Women"/>
    <x v="4"/>
    <x v="9"/>
    <n v="3"/>
    <n v="0.1"/>
    <x v="281"/>
    <x v="1"/>
    <x v="9"/>
    <x v="0"/>
  </r>
  <r>
    <x v="282"/>
    <x v="228"/>
    <x v="44"/>
    <x v="9"/>
    <x v="7"/>
    <x v="2"/>
    <x v="4"/>
    <s v="Tables"/>
    <x v="7"/>
    <x v="179"/>
    <n v="5"/>
    <n v="0.05"/>
    <x v="282"/>
    <x v="1"/>
    <x v="1"/>
    <x v="1"/>
  </r>
  <r>
    <x v="283"/>
    <x v="229"/>
    <x v="181"/>
    <x v="10"/>
    <x v="8"/>
    <x v="3"/>
    <x v="2"/>
    <s v="Men"/>
    <x v="11"/>
    <x v="111"/>
    <n v="2"/>
    <n v="0.15"/>
    <x v="283"/>
    <x v="4"/>
    <x v="3"/>
    <x v="2"/>
  </r>
  <r>
    <x v="284"/>
    <x v="230"/>
    <x v="24"/>
    <x v="15"/>
    <x v="11"/>
    <x v="2"/>
    <x v="2"/>
    <s v="Men"/>
    <x v="21"/>
    <x v="37"/>
    <n v="3"/>
    <n v="0.1"/>
    <x v="284"/>
    <x v="4"/>
    <x v="3"/>
    <x v="2"/>
  </r>
  <r>
    <x v="285"/>
    <x v="231"/>
    <x v="182"/>
    <x v="6"/>
    <x v="1"/>
    <x v="1"/>
    <x v="0"/>
    <s v="Cleaning"/>
    <x v="0"/>
    <x v="180"/>
    <n v="2"/>
    <n v="0.15"/>
    <x v="285"/>
    <x v="2"/>
    <x v="2"/>
    <x v="0"/>
  </r>
  <r>
    <x v="286"/>
    <x v="232"/>
    <x v="125"/>
    <x v="13"/>
    <x v="3"/>
    <x v="0"/>
    <x v="4"/>
    <s v="Storage"/>
    <x v="14"/>
    <x v="181"/>
    <n v="5"/>
    <n v="0.1"/>
    <x v="286"/>
    <x v="0"/>
    <x v="3"/>
    <x v="1"/>
  </r>
  <r>
    <x v="287"/>
    <x v="233"/>
    <x v="183"/>
    <x v="13"/>
    <x v="3"/>
    <x v="0"/>
    <x v="1"/>
    <s v="Laptops"/>
    <x v="19"/>
    <x v="182"/>
    <n v="1"/>
    <n v="0.1"/>
    <x v="287"/>
    <x v="0"/>
    <x v="2"/>
    <x v="1"/>
  </r>
  <r>
    <x v="288"/>
    <x v="234"/>
    <x v="62"/>
    <x v="1"/>
    <x v="1"/>
    <x v="1"/>
    <x v="1"/>
    <s v="Laptops"/>
    <x v="17"/>
    <x v="29"/>
    <n v="6"/>
    <n v="0"/>
    <x v="288"/>
    <x v="2"/>
    <x v="7"/>
    <x v="0"/>
  </r>
  <r>
    <x v="289"/>
    <x v="235"/>
    <x v="184"/>
    <x v="14"/>
    <x v="10"/>
    <x v="0"/>
    <x v="3"/>
    <s v="Stationery"/>
    <x v="5"/>
    <x v="183"/>
    <n v="5"/>
    <n v="0.15"/>
    <x v="289"/>
    <x v="3"/>
    <x v="2"/>
    <x v="1"/>
  </r>
  <r>
    <x v="290"/>
    <x v="236"/>
    <x v="185"/>
    <x v="8"/>
    <x v="6"/>
    <x v="4"/>
    <x v="2"/>
    <s v="Women"/>
    <x v="4"/>
    <x v="148"/>
    <n v="4"/>
    <n v="0.2"/>
    <x v="290"/>
    <x v="3"/>
    <x v="9"/>
    <x v="0"/>
  </r>
  <r>
    <x v="291"/>
    <x v="141"/>
    <x v="186"/>
    <x v="9"/>
    <x v="7"/>
    <x v="2"/>
    <x v="0"/>
    <s v="Cleaning"/>
    <x v="0"/>
    <x v="180"/>
    <n v="2"/>
    <n v="0.15"/>
    <x v="291"/>
    <x v="2"/>
    <x v="2"/>
    <x v="0"/>
  </r>
  <r>
    <x v="292"/>
    <x v="237"/>
    <x v="99"/>
    <x v="6"/>
    <x v="1"/>
    <x v="1"/>
    <x v="3"/>
    <s v="Stationery"/>
    <x v="5"/>
    <x v="184"/>
    <n v="1"/>
    <n v="0.1"/>
    <x v="292"/>
    <x v="3"/>
    <x v="7"/>
    <x v="2"/>
  </r>
  <r>
    <x v="293"/>
    <x v="97"/>
    <x v="173"/>
    <x v="14"/>
    <x v="10"/>
    <x v="0"/>
    <x v="0"/>
    <s v="Cleaning"/>
    <x v="0"/>
    <x v="38"/>
    <n v="5"/>
    <n v="0.15"/>
    <x v="293"/>
    <x v="2"/>
    <x v="0"/>
    <x v="2"/>
  </r>
  <r>
    <x v="294"/>
    <x v="238"/>
    <x v="62"/>
    <x v="4"/>
    <x v="3"/>
    <x v="0"/>
    <x v="1"/>
    <s v="Laptops"/>
    <x v="19"/>
    <x v="136"/>
    <n v="4"/>
    <n v="0.1"/>
    <x v="294"/>
    <x v="2"/>
    <x v="4"/>
    <x v="2"/>
  </r>
  <r>
    <x v="295"/>
    <x v="239"/>
    <x v="9"/>
    <x v="4"/>
    <x v="3"/>
    <x v="0"/>
    <x v="0"/>
    <s v="Cleaning"/>
    <x v="0"/>
    <x v="49"/>
    <n v="6"/>
    <n v="0.1"/>
    <x v="295"/>
    <x v="1"/>
    <x v="5"/>
    <x v="2"/>
  </r>
  <r>
    <x v="296"/>
    <x v="240"/>
    <x v="35"/>
    <x v="12"/>
    <x v="9"/>
    <x v="0"/>
    <x v="1"/>
    <s v="Laptops"/>
    <x v="19"/>
    <x v="185"/>
    <n v="5"/>
    <n v="0.1"/>
    <x v="296"/>
    <x v="3"/>
    <x v="1"/>
    <x v="2"/>
  </r>
  <r>
    <x v="297"/>
    <x v="241"/>
    <x v="187"/>
    <x v="13"/>
    <x v="3"/>
    <x v="0"/>
    <x v="0"/>
    <s v="Cooling"/>
    <x v="13"/>
    <x v="186"/>
    <n v="2"/>
    <n v="0.15"/>
    <x v="297"/>
    <x v="3"/>
    <x v="4"/>
    <x v="0"/>
  </r>
  <r>
    <x v="298"/>
    <x v="242"/>
    <x v="188"/>
    <x v="4"/>
    <x v="3"/>
    <x v="0"/>
    <x v="3"/>
    <s v="Organizers"/>
    <x v="20"/>
    <x v="187"/>
    <n v="4"/>
    <n v="0"/>
    <x v="298"/>
    <x v="1"/>
    <x v="6"/>
    <x v="2"/>
  </r>
  <r>
    <x v="299"/>
    <x v="60"/>
    <x v="189"/>
    <x v="5"/>
    <x v="4"/>
    <x v="3"/>
    <x v="4"/>
    <s v="Tables"/>
    <x v="7"/>
    <x v="188"/>
    <n v="3"/>
    <n v="0.05"/>
    <x v="299"/>
    <x v="4"/>
    <x v="9"/>
    <x v="2"/>
  </r>
  <r>
    <x v="300"/>
    <x v="227"/>
    <x v="190"/>
    <x v="10"/>
    <x v="8"/>
    <x v="3"/>
    <x v="0"/>
    <s v="Cleaning"/>
    <x v="0"/>
    <x v="63"/>
    <n v="6"/>
    <n v="0.15"/>
    <x v="300"/>
    <x v="4"/>
    <x v="2"/>
    <x v="2"/>
  </r>
  <r>
    <x v="301"/>
    <x v="243"/>
    <x v="191"/>
    <x v="12"/>
    <x v="9"/>
    <x v="0"/>
    <x v="1"/>
    <s v="Accessories"/>
    <x v="16"/>
    <x v="44"/>
    <n v="2"/>
    <n v="0"/>
    <x v="301"/>
    <x v="4"/>
    <x v="1"/>
    <x v="2"/>
  </r>
  <r>
    <x v="302"/>
    <x v="244"/>
    <x v="140"/>
    <x v="11"/>
    <x v="3"/>
    <x v="0"/>
    <x v="4"/>
    <s v="Chairs"/>
    <x v="10"/>
    <x v="189"/>
    <n v="3"/>
    <n v="0.1"/>
    <x v="302"/>
    <x v="4"/>
    <x v="9"/>
    <x v="0"/>
  </r>
  <r>
    <x v="303"/>
    <x v="245"/>
    <x v="102"/>
    <x v="7"/>
    <x v="5"/>
    <x v="1"/>
    <x v="1"/>
    <s v="Accessories"/>
    <x v="2"/>
    <x v="72"/>
    <n v="4"/>
    <n v="0.05"/>
    <x v="303"/>
    <x v="4"/>
    <x v="6"/>
    <x v="1"/>
  </r>
  <r>
    <x v="304"/>
    <x v="246"/>
    <x v="95"/>
    <x v="1"/>
    <x v="1"/>
    <x v="1"/>
    <x v="2"/>
    <s v="Men"/>
    <x v="11"/>
    <x v="5"/>
    <n v="3"/>
    <n v="0.1"/>
    <x v="304"/>
    <x v="2"/>
    <x v="4"/>
    <x v="2"/>
  </r>
  <r>
    <x v="305"/>
    <x v="247"/>
    <x v="125"/>
    <x v="13"/>
    <x v="3"/>
    <x v="0"/>
    <x v="2"/>
    <s v="Women"/>
    <x v="4"/>
    <x v="44"/>
    <n v="1"/>
    <n v="0"/>
    <x v="305"/>
    <x v="1"/>
    <x v="5"/>
    <x v="2"/>
  </r>
  <r>
    <x v="306"/>
    <x v="248"/>
    <x v="52"/>
    <x v="10"/>
    <x v="8"/>
    <x v="3"/>
    <x v="3"/>
    <s v="Stationery"/>
    <x v="5"/>
    <x v="184"/>
    <n v="1"/>
    <n v="0.1"/>
    <x v="306"/>
    <x v="1"/>
    <x v="1"/>
    <x v="1"/>
  </r>
  <r>
    <x v="307"/>
    <x v="113"/>
    <x v="169"/>
    <x v="7"/>
    <x v="5"/>
    <x v="1"/>
    <x v="4"/>
    <s v="Storage"/>
    <x v="14"/>
    <x v="87"/>
    <n v="4"/>
    <n v="0.1"/>
    <x v="307"/>
    <x v="3"/>
    <x v="2"/>
    <x v="0"/>
  </r>
  <r>
    <x v="308"/>
    <x v="249"/>
    <x v="192"/>
    <x v="9"/>
    <x v="7"/>
    <x v="2"/>
    <x v="2"/>
    <s v="Women"/>
    <x v="3"/>
    <x v="144"/>
    <n v="1"/>
    <n v="0.1"/>
    <x v="308"/>
    <x v="1"/>
    <x v="6"/>
    <x v="0"/>
  </r>
  <r>
    <x v="309"/>
    <x v="250"/>
    <x v="172"/>
    <x v="14"/>
    <x v="10"/>
    <x v="0"/>
    <x v="0"/>
    <s v="Cleaning"/>
    <x v="0"/>
    <x v="190"/>
    <n v="1"/>
    <n v="0.05"/>
    <x v="309"/>
    <x v="4"/>
    <x v="8"/>
    <x v="1"/>
  </r>
  <r>
    <x v="310"/>
    <x v="25"/>
    <x v="193"/>
    <x v="9"/>
    <x v="7"/>
    <x v="2"/>
    <x v="3"/>
    <s v="Organizers"/>
    <x v="20"/>
    <x v="128"/>
    <n v="2"/>
    <n v="0.05"/>
    <x v="310"/>
    <x v="3"/>
    <x v="3"/>
    <x v="1"/>
  </r>
  <r>
    <x v="311"/>
    <x v="59"/>
    <x v="194"/>
    <x v="4"/>
    <x v="3"/>
    <x v="0"/>
    <x v="3"/>
    <s v="Stationery"/>
    <x v="5"/>
    <x v="155"/>
    <n v="3"/>
    <n v="0.1"/>
    <x v="311"/>
    <x v="1"/>
    <x v="9"/>
    <x v="2"/>
  </r>
  <r>
    <x v="312"/>
    <x v="251"/>
    <x v="0"/>
    <x v="5"/>
    <x v="4"/>
    <x v="3"/>
    <x v="4"/>
    <s v="Tables"/>
    <x v="7"/>
    <x v="8"/>
    <n v="5"/>
    <n v="0.1"/>
    <x v="312"/>
    <x v="2"/>
    <x v="7"/>
    <x v="1"/>
  </r>
  <r>
    <x v="313"/>
    <x v="252"/>
    <x v="195"/>
    <x v="12"/>
    <x v="9"/>
    <x v="0"/>
    <x v="4"/>
    <s v="Chairs"/>
    <x v="10"/>
    <x v="58"/>
    <n v="3"/>
    <n v="0.15"/>
    <x v="313"/>
    <x v="1"/>
    <x v="0"/>
    <x v="1"/>
  </r>
  <r>
    <x v="314"/>
    <x v="253"/>
    <x v="196"/>
    <x v="8"/>
    <x v="6"/>
    <x v="4"/>
    <x v="4"/>
    <s v="Storage"/>
    <x v="14"/>
    <x v="168"/>
    <n v="6"/>
    <n v="0"/>
    <x v="314"/>
    <x v="4"/>
    <x v="2"/>
    <x v="2"/>
  </r>
  <r>
    <x v="315"/>
    <x v="254"/>
    <x v="62"/>
    <x v="1"/>
    <x v="1"/>
    <x v="1"/>
    <x v="1"/>
    <s v="Accessories"/>
    <x v="16"/>
    <x v="97"/>
    <n v="5"/>
    <n v="0.15"/>
    <x v="315"/>
    <x v="3"/>
    <x v="8"/>
    <x v="2"/>
  </r>
  <r>
    <x v="316"/>
    <x v="255"/>
    <x v="197"/>
    <x v="11"/>
    <x v="3"/>
    <x v="0"/>
    <x v="4"/>
    <s v="Chairs"/>
    <x v="10"/>
    <x v="189"/>
    <n v="3"/>
    <n v="0.1"/>
    <x v="316"/>
    <x v="1"/>
    <x v="9"/>
    <x v="1"/>
  </r>
  <r>
    <x v="317"/>
    <x v="157"/>
    <x v="46"/>
    <x v="8"/>
    <x v="6"/>
    <x v="4"/>
    <x v="0"/>
    <s v="Kitchen"/>
    <x v="8"/>
    <x v="191"/>
    <n v="4"/>
    <n v="0.1"/>
    <x v="317"/>
    <x v="0"/>
    <x v="2"/>
    <x v="1"/>
  </r>
  <r>
    <x v="318"/>
    <x v="168"/>
    <x v="182"/>
    <x v="4"/>
    <x v="3"/>
    <x v="0"/>
    <x v="0"/>
    <s v="Cleaning"/>
    <x v="0"/>
    <x v="49"/>
    <n v="6"/>
    <n v="0.1"/>
    <x v="318"/>
    <x v="1"/>
    <x v="7"/>
    <x v="2"/>
  </r>
  <r>
    <x v="319"/>
    <x v="256"/>
    <x v="198"/>
    <x v="10"/>
    <x v="8"/>
    <x v="3"/>
    <x v="3"/>
    <s v="Paper"/>
    <x v="12"/>
    <x v="54"/>
    <n v="5"/>
    <n v="0.1"/>
    <x v="319"/>
    <x v="0"/>
    <x v="4"/>
    <x v="2"/>
  </r>
  <r>
    <x v="320"/>
    <x v="257"/>
    <x v="199"/>
    <x v="1"/>
    <x v="1"/>
    <x v="1"/>
    <x v="0"/>
    <s v="Kitchen"/>
    <x v="18"/>
    <x v="81"/>
    <n v="6"/>
    <n v="0.1"/>
    <x v="320"/>
    <x v="4"/>
    <x v="1"/>
    <x v="0"/>
  </r>
  <r>
    <x v="321"/>
    <x v="258"/>
    <x v="9"/>
    <x v="5"/>
    <x v="4"/>
    <x v="3"/>
    <x v="3"/>
    <s v="Stationery"/>
    <x v="15"/>
    <x v="192"/>
    <n v="1"/>
    <n v="0.05"/>
    <x v="321"/>
    <x v="2"/>
    <x v="3"/>
    <x v="0"/>
  </r>
  <r>
    <x v="322"/>
    <x v="125"/>
    <x v="200"/>
    <x v="10"/>
    <x v="8"/>
    <x v="3"/>
    <x v="4"/>
    <s v="Chairs"/>
    <x v="9"/>
    <x v="48"/>
    <n v="6"/>
    <n v="0.15"/>
    <x v="322"/>
    <x v="3"/>
    <x v="7"/>
    <x v="2"/>
  </r>
  <r>
    <x v="323"/>
    <x v="259"/>
    <x v="198"/>
    <x v="3"/>
    <x v="3"/>
    <x v="0"/>
    <x v="1"/>
    <s v="Accessories"/>
    <x v="16"/>
    <x v="40"/>
    <n v="1"/>
    <n v="0.1"/>
    <x v="323"/>
    <x v="0"/>
    <x v="6"/>
    <x v="1"/>
  </r>
  <r>
    <x v="324"/>
    <x v="260"/>
    <x v="102"/>
    <x v="11"/>
    <x v="3"/>
    <x v="0"/>
    <x v="0"/>
    <s v="Kitchen"/>
    <x v="18"/>
    <x v="115"/>
    <n v="1"/>
    <n v="0.2"/>
    <x v="324"/>
    <x v="0"/>
    <x v="6"/>
    <x v="0"/>
  </r>
  <r>
    <x v="325"/>
    <x v="193"/>
    <x v="92"/>
    <x v="8"/>
    <x v="6"/>
    <x v="4"/>
    <x v="0"/>
    <s v="Cooling"/>
    <x v="13"/>
    <x v="160"/>
    <n v="1"/>
    <n v="0.1"/>
    <x v="325"/>
    <x v="3"/>
    <x v="8"/>
    <x v="1"/>
  </r>
  <r>
    <x v="326"/>
    <x v="261"/>
    <x v="201"/>
    <x v="15"/>
    <x v="11"/>
    <x v="2"/>
    <x v="3"/>
    <s v="Stationery"/>
    <x v="5"/>
    <x v="193"/>
    <n v="3"/>
    <n v="0.15"/>
    <x v="326"/>
    <x v="1"/>
    <x v="3"/>
    <x v="1"/>
  </r>
  <r>
    <x v="327"/>
    <x v="55"/>
    <x v="202"/>
    <x v="4"/>
    <x v="3"/>
    <x v="0"/>
    <x v="4"/>
    <s v="Tables"/>
    <x v="7"/>
    <x v="194"/>
    <n v="6"/>
    <n v="0.1"/>
    <x v="327"/>
    <x v="1"/>
    <x v="4"/>
    <x v="1"/>
  </r>
  <r>
    <x v="328"/>
    <x v="253"/>
    <x v="187"/>
    <x v="10"/>
    <x v="8"/>
    <x v="3"/>
    <x v="0"/>
    <s v="Cleaning"/>
    <x v="0"/>
    <x v="195"/>
    <n v="4"/>
    <n v="0.2"/>
    <x v="328"/>
    <x v="3"/>
    <x v="9"/>
    <x v="1"/>
  </r>
  <r>
    <x v="329"/>
    <x v="262"/>
    <x v="96"/>
    <x v="13"/>
    <x v="3"/>
    <x v="0"/>
    <x v="3"/>
    <s v="Organizers"/>
    <x v="20"/>
    <x v="149"/>
    <n v="3"/>
    <n v="0.1"/>
    <x v="329"/>
    <x v="1"/>
    <x v="2"/>
    <x v="0"/>
  </r>
  <r>
    <x v="330"/>
    <x v="263"/>
    <x v="47"/>
    <x v="5"/>
    <x v="4"/>
    <x v="3"/>
    <x v="1"/>
    <s v="Laptops"/>
    <x v="19"/>
    <x v="196"/>
    <n v="4"/>
    <n v="0.15"/>
    <x v="330"/>
    <x v="2"/>
    <x v="5"/>
    <x v="0"/>
  </r>
  <r>
    <x v="331"/>
    <x v="264"/>
    <x v="198"/>
    <x v="6"/>
    <x v="1"/>
    <x v="1"/>
    <x v="1"/>
    <s v="Mobiles"/>
    <x v="1"/>
    <x v="197"/>
    <n v="5"/>
    <n v="0.05"/>
    <x v="331"/>
    <x v="3"/>
    <x v="6"/>
    <x v="1"/>
  </r>
  <r>
    <x v="332"/>
    <x v="265"/>
    <x v="203"/>
    <x v="13"/>
    <x v="3"/>
    <x v="0"/>
    <x v="2"/>
    <s v="Men"/>
    <x v="21"/>
    <x v="169"/>
    <n v="6"/>
    <n v="0.15"/>
    <x v="332"/>
    <x v="3"/>
    <x v="2"/>
    <x v="2"/>
  </r>
  <r>
    <x v="333"/>
    <x v="266"/>
    <x v="25"/>
    <x v="7"/>
    <x v="5"/>
    <x v="1"/>
    <x v="2"/>
    <s v="Women"/>
    <x v="4"/>
    <x v="5"/>
    <n v="4"/>
    <n v="0.1"/>
    <x v="333"/>
    <x v="2"/>
    <x v="8"/>
    <x v="1"/>
  </r>
  <r>
    <x v="334"/>
    <x v="267"/>
    <x v="58"/>
    <x v="0"/>
    <x v="0"/>
    <x v="0"/>
    <x v="3"/>
    <s v="Organizers"/>
    <x v="20"/>
    <x v="70"/>
    <n v="1"/>
    <n v="0.05"/>
    <x v="334"/>
    <x v="0"/>
    <x v="5"/>
    <x v="1"/>
  </r>
  <r>
    <x v="335"/>
    <x v="268"/>
    <x v="132"/>
    <x v="10"/>
    <x v="8"/>
    <x v="3"/>
    <x v="0"/>
    <s v="Kitchen"/>
    <x v="8"/>
    <x v="198"/>
    <n v="2"/>
    <n v="0.05"/>
    <x v="335"/>
    <x v="2"/>
    <x v="9"/>
    <x v="0"/>
  </r>
  <r>
    <x v="336"/>
    <x v="269"/>
    <x v="204"/>
    <x v="1"/>
    <x v="1"/>
    <x v="1"/>
    <x v="0"/>
    <s v="Kitchen"/>
    <x v="18"/>
    <x v="62"/>
    <n v="5"/>
    <n v="0.1"/>
    <x v="336"/>
    <x v="0"/>
    <x v="8"/>
    <x v="0"/>
  </r>
  <r>
    <x v="337"/>
    <x v="65"/>
    <x v="111"/>
    <x v="6"/>
    <x v="1"/>
    <x v="1"/>
    <x v="3"/>
    <s v="Stationery"/>
    <x v="15"/>
    <x v="199"/>
    <n v="2"/>
    <n v="0.15"/>
    <x v="337"/>
    <x v="0"/>
    <x v="9"/>
    <x v="2"/>
  </r>
  <r>
    <x v="338"/>
    <x v="270"/>
    <x v="97"/>
    <x v="1"/>
    <x v="1"/>
    <x v="1"/>
    <x v="1"/>
    <s v="Mobiles"/>
    <x v="6"/>
    <x v="138"/>
    <n v="1"/>
    <n v="0.1"/>
    <x v="338"/>
    <x v="0"/>
    <x v="1"/>
    <x v="0"/>
  </r>
  <r>
    <x v="339"/>
    <x v="205"/>
    <x v="75"/>
    <x v="10"/>
    <x v="8"/>
    <x v="3"/>
    <x v="3"/>
    <s v="Paper"/>
    <x v="12"/>
    <x v="200"/>
    <n v="5"/>
    <n v="0.05"/>
    <x v="339"/>
    <x v="2"/>
    <x v="6"/>
    <x v="0"/>
  </r>
  <r>
    <x v="340"/>
    <x v="262"/>
    <x v="55"/>
    <x v="1"/>
    <x v="1"/>
    <x v="1"/>
    <x v="1"/>
    <s v="Accessories"/>
    <x v="2"/>
    <x v="41"/>
    <n v="2"/>
    <n v="0.1"/>
    <x v="340"/>
    <x v="0"/>
    <x v="6"/>
    <x v="2"/>
  </r>
  <r>
    <x v="341"/>
    <x v="271"/>
    <x v="89"/>
    <x v="9"/>
    <x v="7"/>
    <x v="2"/>
    <x v="4"/>
    <s v="Chairs"/>
    <x v="10"/>
    <x v="158"/>
    <n v="5"/>
    <n v="0.1"/>
    <x v="341"/>
    <x v="2"/>
    <x v="8"/>
    <x v="0"/>
  </r>
  <r>
    <x v="342"/>
    <x v="272"/>
    <x v="4"/>
    <x v="12"/>
    <x v="9"/>
    <x v="0"/>
    <x v="4"/>
    <s v="Tables"/>
    <x v="7"/>
    <x v="201"/>
    <n v="4"/>
    <n v="0.1"/>
    <x v="342"/>
    <x v="1"/>
    <x v="1"/>
    <x v="1"/>
  </r>
  <r>
    <x v="343"/>
    <x v="85"/>
    <x v="150"/>
    <x v="15"/>
    <x v="11"/>
    <x v="2"/>
    <x v="3"/>
    <s v="Organizers"/>
    <x v="20"/>
    <x v="202"/>
    <n v="3"/>
    <n v="0.15"/>
    <x v="343"/>
    <x v="2"/>
    <x v="6"/>
    <x v="0"/>
  </r>
  <r>
    <x v="344"/>
    <x v="273"/>
    <x v="205"/>
    <x v="15"/>
    <x v="11"/>
    <x v="2"/>
    <x v="3"/>
    <s v="Stationery"/>
    <x v="5"/>
    <x v="203"/>
    <n v="1"/>
    <n v="0"/>
    <x v="344"/>
    <x v="2"/>
    <x v="7"/>
    <x v="1"/>
  </r>
  <r>
    <x v="345"/>
    <x v="274"/>
    <x v="133"/>
    <x v="3"/>
    <x v="3"/>
    <x v="0"/>
    <x v="3"/>
    <s v="Stationery"/>
    <x v="5"/>
    <x v="117"/>
    <n v="6"/>
    <n v="0"/>
    <x v="345"/>
    <x v="2"/>
    <x v="3"/>
    <x v="1"/>
  </r>
  <r>
    <x v="346"/>
    <x v="199"/>
    <x v="206"/>
    <x v="13"/>
    <x v="3"/>
    <x v="0"/>
    <x v="2"/>
    <s v="Men"/>
    <x v="11"/>
    <x v="22"/>
    <n v="4"/>
    <n v="0.1"/>
    <x v="346"/>
    <x v="2"/>
    <x v="3"/>
    <x v="0"/>
  </r>
  <r>
    <x v="347"/>
    <x v="275"/>
    <x v="201"/>
    <x v="1"/>
    <x v="1"/>
    <x v="1"/>
    <x v="0"/>
    <s v="Kitchen"/>
    <x v="8"/>
    <x v="204"/>
    <n v="2"/>
    <n v="0"/>
    <x v="347"/>
    <x v="3"/>
    <x v="9"/>
    <x v="2"/>
  </r>
  <r>
    <x v="348"/>
    <x v="78"/>
    <x v="104"/>
    <x v="7"/>
    <x v="5"/>
    <x v="1"/>
    <x v="2"/>
    <s v="Women"/>
    <x v="3"/>
    <x v="103"/>
    <n v="3"/>
    <n v="0.1"/>
    <x v="348"/>
    <x v="4"/>
    <x v="5"/>
    <x v="0"/>
  </r>
  <r>
    <x v="349"/>
    <x v="161"/>
    <x v="188"/>
    <x v="14"/>
    <x v="10"/>
    <x v="0"/>
    <x v="2"/>
    <s v="Women"/>
    <x v="3"/>
    <x v="125"/>
    <n v="5"/>
    <n v="0"/>
    <x v="349"/>
    <x v="1"/>
    <x v="1"/>
    <x v="1"/>
  </r>
  <r>
    <x v="350"/>
    <x v="270"/>
    <x v="137"/>
    <x v="10"/>
    <x v="8"/>
    <x v="3"/>
    <x v="1"/>
    <s v="Mobiles"/>
    <x v="6"/>
    <x v="126"/>
    <n v="2"/>
    <n v="0"/>
    <x v="350"/>
    <x v="4"/>
    <x v="0"/>
    <x v="0"/>
  </r>
  <r>
    <x v="351"/>
    <x v="276"/>
    <x v="75"/>
    <x v="6"/>
    <x v="1"/>
    <x v="1"/>
    <x v="3"/>
    <s v="Stationery"/>
    <x v="5"/>
    <x v="117"/>
    <n v="6"/>
    <n v="0"/>
    <x v="351"/>
    <x v="0"/>
    <x v="3"/>
    <x v="1"/>
  </r>
  <r>
    <x v="352"/>
    <x v="277"/>
    <x v="137"/>
    <x v="0"/>
    <x v="0"/>
    <x v="0"/>
    <x v="4"/>
    <s v="Chairs"/>
    <x v="10"/>
    <x v="25"/>
    <n v="5"/>
    <n v="0.05"/>
    <x v="352"/>
    <x v="4"/>
    <x v="9"/>
    <x v="0"/>
  </r>
  <r>
    <x v="353"/>
    <x v="278"/>
    <x v="207"/>
    <x v="5"/>
    <x v="4"/>
    <x v="3"/>
    <x v="3"/>
    <s v="Stationery"/>
    <x v="15"/>
    <x v="205"/>
    <n v="5"/>
    <n v="0.1"/>
    <x v="353"/>
    <x v="1"/>
    <x v="5"/>
    <x v="0"/>
  </r>
  <r>
    <x v="354"/>
    <x v="92"/>
    <x v="167"/>
    <x v="14"/>
    <x v="10"/>
    <x v="0"/>
    <x v="4"/>
    <s v="Chairs"/>
    <x v="9"/>
    <x v="206"/>
    <n v="2"/>
    <n v="0.05"/>
    <x v="354"/>
    <x v="3"/>
    <x v="3"/>
    <x v="2"/>
  </r>
  <r>
    <x v="355"/>
    <x v="279"/>
    <x v="208"/>
    <x v="14"/>
    <x v="10"/>
    <x v="0"/>
    <x v="1"/>
    <s v="Accessories"/>
    <x v="16"/>
    <x v="172"/>
    <n v="1"/>
    <n v="0.15"/>
    <x v="74"/>
    <x v="2"/>
    <x v="7"/>
    <x v="0"/>
  </r>
  <r>
    <x v="356"/>
    <x v="107"/>
    <x v="110"/>
    <x v="5"/>
    <x v="4"/>
    <x v="3"/>
    <x v="4"/>
    <s v="Storage"/>
    <x v="14"/>
    <x v="75"/>
    <n v="2"/>
    <n v="0"/>
    <x v="355"/>
    <x v="0"/>
    <x v="5"/>
    <x v="2"/>
  </r>
  <r>
    <x v="357"/>
    <x v="198"/>
    <x v="209"/>
    <x v="6"/>
    <x v="1"/>
    <x v="1"/>
    <x v="3"/>
    <s v="Stationery"/>
    <x v="5"/>
    <x v="184"/>
    <n v="1"/>
    <n v="0.1"/>
    <x v="356"/>
    <x v="0"/>
    <x v="7"/>
    <x v="0"/>
  </r>
  <r>
    <x v="358"/>
    <x v="280"/>
    <x v="210"/>
    <x v="1"/>
    <x v="1"/>
    <x v="1"/>
    <x v="2"/>
    <s v="Men"/>
    <x v="21"/>
    <x v="169"/>
    <n v="6"/>
    <n v="0.15"/>
    <x v="357"/>
    <x v="1"/>
    <x v="7"/>
    <x v="1"/>
  </r>
  <r>
    <x v="359"/>
    <x v="281"/>
    <x v="202"/>
    <x v="8"/>
    <x v="6"/>
    <x v="4"/>
    <x v="0"/>
    <s v="Cleaning"/>
    <x v="0"/>
    <x v="28"/>
    <n v="3"/>
    <n v="0.05"/>
    <x v="358"/>
    <x v="1"/>
    <x v="6"/>
    <x v="1"/>
  </r>
  <r>
    <x v="360"/>
    <x v="270"/>
    <x v="130"/>
    <x v="13"/>
    <x v="3"/>
    <x v="0"/>
    <x v="1"/>
    <s v="Accessories"/>
    <x v="2"/>
    <x v="112"/>
    <n v="4"/>
    <n v="0"/>
    <x v="359"/>
    <x v="1"/>
    <x v="7"/>
    <x v="2"/>
  </r>
  <r>
    <x v="361"/>
    <x v="282"/>
    <x v="159"/>
    <x v="11"/>
    <x v="3"/>
    <x v="0"/>
    <x v="4"/>
    <s v="Chairs"/>
    <x v="9"/>
    <x v="206"/>
    <n v="2"/>
    <n v="0.05"/>
    <x v="360"/>
    <x v="4"/>
    <x v="9"/>
    <x v="2"/>
  </r>
  <r>
    <x v="362"/>
    <x v="283"/>
    <x v="211"/>
    <x v="11"/>
    <x v="3"/>
    <x v="0"/>
    <x v="0"/>
    <s v="Kitchen"/>
    <x v="8"/>
    <x v="116"/>
    <n v="2"/>
    <n v="0.15"/>
    <x v="361"/>
    <x v="4"/>
    <x v="6"/>
    <x v="1"/>
  </r>
  <r>
    <x v="363"/>
    <x v="202"/>
    <x v="116"/>
    <x v="6"/>
    <x v="1"/>
    <x v="1"/>
    <x v="1"/>
    <s v="Laptops"/>
    <x v="19"/>
    <x v="130"/>
    <n v="3"/>
    <n v="0.1"/>
    <x v="362"/>
    <x v="1"/>
    <x v="2"/>
    <x v="2"/>
  </r>
  <r>
    <x v="364"/>
    <x v="284"/>
    <x v="61"/>
    <x v="1"/>
    <x v="1"/>
    <x v="1"/>
    <x v="2"/>
    <s v="Women"/>
    <x v="3"/>
    <x v="88"/>
    <n v="3"/>
    <n v="0.15"/>
    <x v="363"/>
    <x v="1"/>
    <x v="2"/>
    <x v="0"/>
  </r>
  <r>
    <x v="365"/>
    <x v="62"/>
    <x v="212"/>
    <x v="2"/>
    <x v="2"/>
    <x v="2"/>
    <x v="0"/>
    <s v="Cleaning"/>
    <x v="0"/>
    <x v="207"/>
    <n v="2"/>
    <n v="0.05"/>
    <x v="364"/>
    <x v="0"/>
    <x v="6"/>
    <x v="2"/>
  </r>
  <r>
    <x v="366"/>
    <x v="285"/>
    <x v="68"/>
    <x v="12"/>
    <x v="9"/>
    <x v="0"/>
    <x v="2"/>
    <s v="Women"/>
    <x v="4"/>
    <x v="54"/>
    <n v="6"/>
    <n v="0"/>
    <x v="365"/>
    <x v="3"/>
    <x v="8"/>
    <x v="0"/>
  </r>
  <r>
    <x v="367"/>
    <x v="62"/>
    <x v="56"/>
    <x v="12"/>
    <x v="9"/>
    <x v="0"/>
    <x v="1"/>
    <s v="Mobiles"/>
    <x v="6"/>
    <x v="208"/>
    <n v="2"/>
    <n v="0.1"/>
    <x v="366"/>
    <x v="2"/>
    <x v="4"/>
    <x v="1"/>
  </r>
  <r>
    <x v="368"/>
    <x v="286"/>
    <x v="108"/>
    <x v="0"/>
    <x v="0"/>
    <x v="0"/>
    <x v="3"/>
    <s v="Organizers"/>
    <x v="20"/>
    <x v="209"/>
    <n v="4"/>
    <n v="0.05"/>
    <x v="367"/>
    <x v="1"/>
    <x v="2"/>
    <x v="0"/>
  </r>
  <r>
    <x v="369"/>
    <x v="184"/>
    <x v="203"/>
    <x v="5"/>
    <x v="4"/>
    <x v="3"/>
    <x v="2"/>
    <s v="Women"/>
    <x v="4"/>
    <x v="72"/>
    <n v="4"/>
    <n v="0.05"/>
    <x v="368"/>
    <x v="1"/>
    <x v="3"/>
    <x v="1"/>
  </r>
  <r>
    <x v="370"/>
    <x v="274"/>
    <x v="160"/>
    <x v="13"/>
    <x v="3"/>
    <x v="0"/>
    <x v="1"/>
    <s v="Mobiles"/>
    <x v="6"/>
    <x v="96"/>
    <n v="1"/>
    <n v="0.05"/>
    <x v="369"/>
    <x v="1"/>
    <x v="4"/>
    <x v="0"/>
  </r>
  <r>
    <x v="371"/>
    <x v="287"/>
    <x v="213"/>
    <x v="9"/>
    <x v="7"/>
    <x v="2"/>
    <x v="1"/>
    <s v="Accessories"/>
    <x v="2"/>
    <x v="27"/>
    <n v="2"/>
    <n v="0.15"/>
    <x v="370"/>
    <x v="0"/>
    <x v="8"/>
    <x v="1"/>
  </r>
  <r>
    <x v="372"/>
    <x v="288"/>
    <x v="84"/>
    <x v="7"/>
    <x v="5"/>
    <x v="1"/>
    <x v="1"/>
    <s v="Mobiles"/>
    <x v="6"/>
    <x v="152"/>
    <n v="4"/>
    <n v="0.15"/>
    <x v="371"/>
    <x v="2"/>
    <x v="9"/>
    <x v="0"/>
  </r>
  <r>
    <x v="373"/>
    <x v="289"/>
    <x v="214"/>
    <x v="8"/>
    <x v="6"/>
    <x v="4"/>
    <x v="0"/>
    <s v="Kitchen"/>
    <x v="8"/>
    <x v="210"/>
    <n v="6"/>
    <n v="0"/>
    <x v="372"/>
    <x v="0"/>
    <x v="5"/>
    <x v="1"/>
  </r>
  <r>
    <x v="374"/>
    <x v="166"/>
    <x v="215"/>
    <x v="10"/>
    <x v="8"/>
    <x v="3"/>
    <x v="3"/>
    <s v="Stationery"/>
    <x v="15"/>
    <x v="6"/>
    <n v="6"/>
    <n v="0.1"/>
    <x v="373"/>
    <x v="2"/>
    <x v="9"/>
    <x v="0"/>
  </r>
  <r>
    <x v="375"/>
    <x v="56"/>
    <x v="100"/>
    <x v="3"/>
    <x v="3"/>
    <x v="0"/>
    <x v="1"/>
    <s v="Mobiles"/>
    <x v="6"/>
    <x v="211"/>
    <n v="6"/>
    <n v="0.1"/>
    <x v="374"/>
    <x v="3"/>
    <x v="6"/>
    <x v="1"/>
  </r>
  <r>
    <x v="376"/>
    <x v="244"/>
    <x v="18"/>
    <x v="10"/>
    <x v="8"/>
    <x v="3"/>
    <x v="1"/>
    <s v="Accessories"/>
    <x v="16"/>
    <x v="33"/>
    <n v="3"/>
    <n v="0.2"/>
    <x v="375"/>
    <x v="2"/>
    <x v="8"/>
    <x v="1"/>
  </r>
  <r>
    <x v="377"/>
    <x v="199"/>
    <x v="216"/>
    <x v="7"/>
    <x v="5"/>
    <x v="1"/>
    <x v="3"/>
    <s v="Organizers"/>
    <x v="20"/>
    <x v="55"/>
    <n v="2"/>
    <n v="0.15"/>
    <x v="376"/>
    <x v="4"/>
    <x v="6"/>
    <x v="0"/>
  </r>
  <r>
    <x v="378"/>
    <x v="57"/>
    <x v="178"/>
    <x v="3"/>
    <x v="3"/>
    <x v="0"/>
    <x v="1"/>
    <s v="Mobiles"/>
    <x v="1"/>
    <x v="45"/>
    <n v="1"/>
    <n v="0.1"/>
    <x v="377"/>
    <x v="1"/>
    <x v="1"/>
    <x v="1"/>
  </r>
  <r>
    <x v="379"/>
    <x v="110"/>
    <x v="217"/>
    <x v="9"/>
    <x v="7"/>
    <x v="2"/>
    <x v="0"/>
    <s v="Kitchen"/>
    <x v="8"/>
    <x v="212"/>
    <n v="6"/>
    <n v="0.1"/>
    <x v="378"/>
    <x v="4"/>
    <x v="5"/>
    <x v="1"/>
  </r>
  <r>
    <x v="380"/>
    <x v="143"/>
    <x v="158"/>
    <x v="11"/>
    <x v="3"/>
    <x v="0"/>
    <x v="4"/>
    <s v="Chairs"/>
    <x v="9"/>
    <x v="11"/>
    <n v="6"/>
    <n v="0.1"/>
    <x v="379"/>
    <x v="0"/>
    <x v="3"/>
    <x v="0"/>
  </r>
  <r>
    <x v="381"/>
    <x v="58"/>
    <x v="214"/>
    <x v="5"/>
    <x v="4"/>
    <x v="3"/>
    <x v="1"/>
    <s v="Accessories"/>
    <x v="2"/>
    <x v="41"/>
    <n v="2"/>
    <n v="0.1"/>
    <x v="380"/>
    <x v="3"/>
    <x v="4"/>
    <x v="1"/>
  </r>
  <r>
    <x v="382"/>
    <x v="290"/>
    <x v="133"/>
    <x v="13"/>
    <x v="3"/>
    <x v="0"/>
    <x v="3"/>
    <s v="Stationery"/>
    <x v="15"/>
    <x v="44"/>
    <n v="6"/>
    <n v="0"/>
    <x v="381"/>
    <x v="2"/>
    <x v="8"/>
    <x v="2"/>
  </r>
  <r>
    <x v="383"/>
    <x v="291"/>
    <x v="198"/>
    <x v="4"/>
    <x v="3"/>
    <x v="0"/>
    <x v="4"/>
    <s v="Chairs"/>
    <x v="10"/>
    <x v="213"/>
    <n v="3"/>
    <n v="0.05"/>
    <x v="382"/>
    <x v="3"/>
    <x v="4"/>
    <x v="2"/>
  </r>
  <r>
    <x v="384"/>
    <x v="99"/>
    <x v="165"/>
    <x v="4"/>
    <x v="3"/>
    <x v="0"/>
    <x v="4"/>
    <s v="Chairs"/>
    <x v="9"/>
    <x v="11"/>
    <n v="6"/>
    <n v="0.1"/>
    <x v="383"/>
    <x v="2"/>
    <x v="1"/>
    <x v="2"/>
  </r>
  <r>
    <x v="385"/>
    <x v="292"/>
    <x v="218"/>
    <x v="3"/>
    <x v="3"/>
    <x v="0"/>
    <x v="3"/>
    <s v="Stationery"/>
    <x v="15"/>
    <x v="18"/>
    <n v="3"/>
    <n v="0.05"/>
    <x v="384"/>
    <x v="4"/>
    <x v="2"/>
    <x v="0"/>
  </r>
  <r>
    <x v="386"/>
    <x v="260"/>
    <x v="174"/>
    <x v="2"/>
    <x v="2"/>
    <x v="2"/>
    <x v="0"/>
    <s v="Kitchen"/>
    <x v="18"/>
    <x v="41"/>
    <n v="2"/>
    <n v="0.1"/>
    <x v="385"/>
    <x v="0"/>
    <x v="7"/>
    <x v="1"/>
  </r>
  <r>
    <x v="387"/>
    <x v="293"/>
    <x v="191"/>
    <x v="10"/>
    <x v="8"/>
    <x v="3"/>
    <x v="4"/>
    <s v="Chairs"/>
    <x v="10"/>
    <x v="12"/>
    <n v="5"/>
    <n v="0.15"/>
    <x v="386"/>
    <x v="4"/>
    <x v="0"/>
    <x v="1"/>
  </r>
  <r>
    <x v="388"/>
    <x v="294"/>
    <x v="40"/>
    <x v="8"/>
    <x v="6"/>
    <x v="4"/>
    <x v="2"/>
    <s v="Men"/>
    <x v="11"/>
    <x v="39"/>
    <n v="3"/>
    <n v="0.15"/>
    <x v="387"/>
    <x v="3"/>
    <x v="6"/>
    <x v="1"/>
  </r>
  <r>
    <x v="389"/>
    <x v="295"/>
    <x v="27"/>
    <x v="12"/>
    <x v="9"/>
    <x v="0"/>
    <x v="0"/>
    <s v="Kitchen"/>
    <x v="18"/>
    <x v="34"/>
    <n v="1"/>
    <n v="0.05"/>
    <x v="388"/>
    <x v="2"/>
    <x v="9"/>
    <x v="1"/>
  </r>
  <r>
    <x v="390"/>
    <x v="32"/>
    <x v="62"/>
    <x v="11"/>
    <x v="3"/>
    <x v="0"/>
    <x v="4"/>
    <s v="Storage"/>
    <x v="14"/>
    <x v="214"/>
    <n v="1"/>
    <n v="0"/>
    <x v="389"/>
    <x v="1"/>
    <x v="4"/>
    <x v="2"/>
  </r>
  <r>
    <x v="391"/>
    <x v="274"/>
    <x v="183"/>
    <x v="12"/>
    <x v="9"/>
    <x v="0"/>
    <x v="4"/>
    <s v="Chairs"/>
    <x v="9"/>
    <x v="215"/>
    <n v="2"/>
    <n v="0.15"/>
    <x v="390"/>
    <x v="3"/>
    <x v="0"/>
    <x v="1"/>
  </r>
  <r>
    <x v="392"/>
    <x v="296"/>
    <x v="121"/>
    <x v="9"/>
    <x v="7"/>
    <x v="2"/>
    <x v="1"/>
    <s v="Mobiles"/>
    <x v="6"/>
    <x v="216"/>
    <n v="5"/>
    <n v="0.15"/>
    <x v="391"/>
    <x v="1"/>
    <x v="1"/>
    <x v="1"/>
  </r>
  <r>
    <x v="393"/>
    <x v="204"/>
    <x v="97"/>
    <x v="1"/>
    <x v="1"/>
    <x v="1"/>
    <x v="1"/>
    <s v="Laptops"/>
    <x v="19"/>
    <x v="217"/>
    <n v="3"/>
    <n v="0.05"/>
    <x v="392"/>
    <x v="4"/>
    <x v="0"/>
    <x v="0"/>
  </r>
  <r>
    <x v="394"/>
    <x v="70"/>
    <x v="107"/>
    <x v="1"/>
    <x v="1"/>
    <x v="1"/>
    <x v="3"/>
    <s v="Paper"/>
    <x v="12"/>
    <x v="5"/>
    <n v="3"/>
    <n v="0.1"/>
    <x v="393"/>
    <x v="2"/>
    <x v="5"/>
    <x v="0"/>
  </r>
  <r>
    <x v="395"/>
    <x v="170"/>
    <x v="3"/>
    <x v="10"/>
    <x v="8"/>
    <x v="3"/>
    <x v="4"/>
    <s v="Chairs"/>
    <x v="10"/>
    <x v="218"/>
    <n v="5"/>
    <n v="0"/>
    <x v="394"/>
    <x v="0"/>
    <x v="9"/>
    <x v="1"/>
  </r>
  <r>
    <x v="396"/>
    <x v="297"/>
    <x v="65"/>
    <x v="9"/>
    <x v="7"/>
    <x v="2"/>
    <x v="3"/>
    <s v="Organizers"/>
    <x v="20"/>
    <x v="219"/>
    <n v="4"/>
    <n v="0.15"/>
    <x v="395"/>
    <x v="3"/>
    <x v="1"/>
    <x v="2"/>
  </r>
  <r>
    <x v="397"/>
    <x v="107"/>
    <x v="167"/>
    <x v="8"/>
    <x v="6"/>
    <x v="4"/>
    <x v="4"/>
    <s v="Storage"/>
    <x v="14"/>
    <x v="87"/>
    <n v="4"/>
    <n v="0.1"/>
    <x v="396"/>
    <x v="0"/>
    <x v="7"/>
    <x v="1"/>
  </r>
  <r>
    <x v="398"/>
    <x v="298"/>
    <x v="219"/>
    <x v="10"/>
    <x v="8"/>
    <x v="3"/>
    <x v="4"/>
    <s v="Tables"/>
    <x v="7"/>
    <x v="179"/>
    <n v="5"/>
    <n v="0.05"/>
    <x v="397"/>
    <x v="2"/>
    <x v="2"/>
    <x v="0"/>
  </r>
  <r>
    <x v="399"/>
    <x v="299"/>
    <x v="200"/>
    <x v="4"/>
    <x v="3"/>
    <x v="0"/>
    <x v="4"/>
    <s v="Tables"/>
    <x v="7"/>
    <x v="201"/>
    <n v="4"/>
    <n v="0.1"/>
    <x v="398"/>
    <x v="0"/>
    <x v="0"/>
    <x v="0"/>
  </r>
  <r>
    <x v="400"/>
    <x v="12"/>
    <x v="179"/>
    <x v="2"/>
    <x v="2"/>
    <x v="2"/>
    <x v="3"/>
    <s v="Stationery"/>
    <x v="15"/>
    <x v="95"/>
    <n v="2"/>
    <n v="0"/>
    <x v="399"/>
    <x v="2"/>
    <x v="8"/>
    <x v="1"/>
  </r>
  <r>
    <x v="401"/>
    <x v="300"/>
    <x v="220"/>
    <x v="2"/>
    <x v="2"/>
    <x v="2"/>
    <x v="4"/>
    <s v="Storage"/>
    <x v="14"/>
    <x v="220"/>
    <n v="1"/>
    <n v="0.1"/>
    <x v="400"/>
    <x v="2"/>
    <x v="1"/>
    <x v="1"/>
  </r>
  <r>
    <x v="402"/>
    <x v="301"/>
    <x v="221"/>
    <x v="3"/>
    <x v="3"/>
    <x v="0"/>
    <x v="4"/>
    <s v="Chairs"/>
    <x v="9"/>
    <x v="60"/>
    <n v="6"/>
    <n v="0"/>
    <x v="401"/>
    <x v="4"/>
    <x v="4"/>
    <x v="0"/>
  </r>
  <r>
    <x v="403"/>
    <x v="302"/>
    <x v="222"/>
    <x v="11"/>
    <x v="3"/>
    <x v="0"/>
    <x v="2"/>
    <s v="Women"/>
    <x v="3"/>
    <x v="144"/>
    <n v="1"/>
    <n v="0.1"/>
    <x v="402"/>
    <x v="3"/>
    <x v="1"/>
    <x v="0"/>
  </r>
  <r>
    <x v="404"/>
    <x v="172"/>
    <x v="30"/>
    <x v="12"/>
    <x v="9"/>
    <x v="0"/>
    <x v="1"/>
    <s v="Mobiles"/>
    <x v="6"/>
    <x v="221"/>
    <n v="5"/>
    <n v="0"/>
    <x v="403"/>
    <x v="4"/>
    <x v="7"/>
    <x v="1"/>
  </r>
  <r>
    <x v="405"/>
    <x v="126"/>
    <x v="179"/>
    <x v="13"/>
    <x v="3"/>
    <x v="0"/>
    <x v="4"/>
    <s v="Chairs"/>
    <x v="9"/>
    <x v="189"/>
    <n v="5"/>
    <n v="0.1"/>
    <x v="404"/>
    <x v="0"/>
    <x v="7"/>
    <x v="2"/>
  </r>
  <r>
    <x v="406"/>
    <x v="303"/>
    <x v="121"/>
    <x v="1"/>
    <x v="1"/>
    <x v="1"/>
    <x v="1"/>
    <s v="Laptops"/>
    <x v="17"/>
    <x v="222"/>
    <n v="3"/>
    <n v="0"/>
    <x v="405"/>
    <x v="1"/>
    <x v="1"/>
    <x v="2"/>
  </r>
  <r>
    <x v="407"/>
    <x v="142"/>
    <x v="54"/>
    <x v="9"/>
    <x v="7"/>
    <x v="2"/>
    <x v="1"/>
    <s v="Laptops"/>
    <x v="17"/>
    <x v="223"/>
    <n v="4"/>
    <n v="0.1"/>
    <x v="406"/>
    <x v="1"/>
    <x v="4"/>
    <x v="2"/>
  </r>
  <r>
    <x v="408"/>
    <x v="144"/>
    <x v="223"/>
    <x v="14"/>
    <x v="10"/>
    <x v="0"/>
    <x v="2"/>
    <s v="Women"/>
    <x v="3"/>
    <x v="224"/>
    <n v="4"/>
    <n v="0.1"/>
    <x v="407"/>
    <x v="4"/>
    <x v="7"/>
    <x v="1"/>
  </r>
  <r>
    <x v="409"/>
    <x v="304"/>
    <x v="61"/>
    <x v="13"/>
    <x v="3"/>
    <x v="0"/>
    <x v="2"/>
    <s v="Women"/>
    <x v="4"/>
    <x v="170"/>
    <n v="6"/>
    <n v="0.15"/>
    <x v="408"/>
    <x v="2"/>
    <x v="0"/>
    <x v="1"/>
  </r>
  <r>
    <x v="410"/>
    <x v="305"/>
    <x v="69"/>
    <x v="1"/>
    <x v="1"/>
    <x v="1"/>
    <x v="4"/>
    <s v="Chairs"/>
    <x v="10"/>
    <x v="25"/>
    <n v="5"/>
    <n v="0.05"/>
    <x v="409"/>
    <x v="2"/>
    <x v="5"/>
    <x v="2"/>
  </r>
  <r>
    <x v="411"/>
    <x v="306"/>
    <x v="122"/>
    <x v="0"/>
    <x v="0"/>
    <x v="0"/>
    <x v="3"/>
    <s v="Paper"/>
    <x v="12"/>
    <x v="225"/>
    <n v="6"/>
    <n v="0"/>
    <x v="410"/>
    <x v="0"/>
    <x v="0"/>
    <x v="0"/>
  </r>
  <r>
    <x v="412"/>
    <x v="52"/>
    <x v="196"/>
    <x v="12"/>
    <x v="9"/>
    <x v="0"/>
    <x v="4"/>
    <s v="Tables"/>
    <x v="7"/>
    <x v="226"/>
    <n v="3"/>
    <n v="0"/>
    <x v="411"/>
    <x v="0"/>
    <x v="0"/>
    <x v="0"/>
  </r>
  <r>
    <x v="413"/>
    <x v="303"/>
    <x v="192"/>
    <x v="6"/>
    <x v="1"/>
    <x v="1"/>
    <x v="3"/>
    <s v="Stationery"/>
    <x v="15"/>
    <x v="192"/>
    <n v="1"/>
    <n v="0.05"/>
    <x v="412"/>
    <x v="1"/>
    <x v="0"/>
    <x v="0"/>
  </r>
  <r>
    <x v="414"/>
    <x v="307"/>
    <x v="33"/>
    <x v="8"/>
    <x v="6"/>
    <x v="4"/>
    <x v="1"/>
    <s v="Accessories"/>
    <x v="2"/>
    <x v="9"/>
    <n v="3"/>
    <n v="0.1"/>
    <x v="413"/>
    <x v="4"/>
    <x v="6"/>
    <x v="0"/>
  </r>
  <r>
    <x v="415"/>
    <x v="308"/>
    <x v="224"/>
    <x v="11"/>
    <x v="3"/>
    <x v="0"/>
    <x v="4"/>
    <s v="Chairs"/>
    <x v="9"/>
    <x v="45"/>
    <n v="4"/>
    <n v="0.1"/>
    <x v="414"/>
    <x v="3"/>
    <x v="0"/>
    <x v="2"/>
  </r>
  <r>
    <x v="416"/>
    <x v="226"/>
    <x v="24"/>
    <x v="13"/>
    <x v="3"/>
    <x v="0"/>
    <x v="0"/>
    <s v="Cooling"/>
    <x v="13"/>
    <x v="189"/>
    <n v="3"/>
    <n v="0.1"/>
    <x v="415"/>
    <x v="1"/>
    <x v="7"/>
    <x v="0"/>
  </r>
  <r>
    <x v="417"/>
    <x v="148"/>
    <x v="172"/>
    <x v="6"/>
    <x v="1"/>
    <x v="1"/>
    <x v="0"/>
    <s v="Cleaning"/>
    <x v="0"/>
    <x v="28"/>
    <n v="3"/>
    <n v="0.05"/>
    <x v="416"/>
    <x v="2"/>
    <x v="2"/>
    <x v="0"/>
  </r>
  <r>
    <x v="418"/>
    <x v="102"/>
    <x v="113"/>
    <x v="8"/>
    <x v="6"/>
    <x v="4"/>
    <x v="1"/>
    <s v="Mobiles"/>
    <x v="1"/>
    <x v="118"/>
    <n v="6"/>
    <n v="0"/>
    <x v="417"/>
    <x v="2"/>
    <x v="7"/>
    <x v="2"/>
  </r>
  <r>
    <x v="419"/>
    <x v="153"/>
    <x v="59"/>
    <x v="9"/>
    <x v="7"/>
    <x v="2"/>
    <x v="1"/>
    <s v="Mobiles"/>
    <x v="6"/>
    <x v="227"/>
    <n v="3"/>
    <n v="0"/>
    <x v="418"/>
    <x v="2"/>
    <x v="1"/>
    <x v="1"/>
  </r>
  <r>
    <x v="420"/>
    <x v="286"/>
    <x v="214"/>
    <x v="2"/>
    <x v="2"/>
    <x v="2"/>
    <x v="4"/>
    <s v="Storage"/>
    <x v="14"/>
    <x v="181"/>
    <n v="5"/>
    <n v="0.1"/>
    <x v="419"/>
    <x v="2"/>
    <x v="5"/>
    <x v="0"/>
  </r>
  <r>
    <x v="421"/>
    <x v="309"/>
    <x v="152"/>
    <x v="2"/>
    <x v="2"/>
    <x v="2"/>
    <x v="4"/>
    <s v="Chairs"/>
    <x v="10"/>
    <x v="35"/>
    <n v="6"/>
    <n v="0.1"/>
    <x v="420"/>
    <x v="2"/>
    <x v="8"/>
    <x v="1"/>
  </r>
  <r>
    <x v="422"/>
    <x v="310"/>
    <x v="9"/>
    <x v="5"/>
    <x v="4"/>
    <x v="3"/>
    <x v="2"/>
    <s v="Women"/>
    <x v="3"/>
    <x v="228"/>
    <n v="6"/>
    <n v="0.05"/>
    <x v="421"/>
    <x v="4"/>
    <x v="6"/>
    <x v="1"/>
  </r>
  <r>
    <x v="423"/>
    <x v="311"/>
    <x v="93"/>
    <x v="13"/>
    <x v="3"/>
    <x v="0"/>
    <x v="4"/>
    <s v="Chairs"/>
    <x v="10"/>
    <x v="229"/>
    <n v="1"/>
    <n v="0.15"/>
    <x v="422"/>
    <x v="1"/>
    <x v="9"/>
    <x v="2"/>
  </r>
  <r>
    <x v="424"/>
    <x v="312"/>
    <x v="225"/>
    <x v="3"/>
    <x v="3"/>
    <x v="0"/>
    <x v="4"/>
    <s v="Chairs"/>
    <x v="10"/>
    <x v="16"/>
    <n v="1"/>
    <n v="0"/>
    <x v="423"/>
    <x v="4"/>
    <x v="0"/>
    <x v="2"/>
  </r>
  <r>
    <x v="425"/>
    <x v="313"/>
    <x v="0"/>
    <x v="0"/>
    <x v="0"/>
    <x v="0"/>
    <x v="3"/>
    <s v="Stationery"/>
    <x v="5"/>
    <x v="32"/>
    <n v="5"/>
    <n v="0.1"/>
    <x v="424"/>
    <x v="1"/>
    <x v="4"/>
    <x v="2"/>
  </r>
  <r>
    <x v="426"/>
    <x v="44"/>
    <x v="149"/>
    <x v="8"/>
    <x v="6"/>
    <x v="4"/>
    <x v="3"/>
    <s v="Paper"/>
    <x v="12"/>
    <x v="72"/>
    <n v="3"/>
    <n v="0.05"/>
    <x v="425"/>
    <x v="3"/>
    <x v="4"/>
    <x v="1"/>
  </r>
  <r>
    <x v="427"/>
    <x v="120"/>
    <x v="168"/>
    <x v="13"/>
    <x v="3"/>
    <x v="0"/>
    <x v="0"/>
    <s v="Kitchen"/>
    <x v="8"/>
    <x v="42"/>
    <n v="5"/>
    <n v="0"/>
    <x v="426"/>
    <x v="3"/>
    <x v="6"/>
    <x v="1"/>
  </r>
  <r>
    <x v="428"/>
    <x v="154"/>
    <x v="6"/>
    <x v="14"/>
    <x v="10"/>
    <x v="0"/>
    <x v="2"/>
    <s v="Women"/>
    <x v="4"/>
    <x v="67"/>
    <n v="1"/>
    <n v="0.15"/>
    <x v="427"/>
    <x v="0"/>
    <x v="9"/>
    <x v="2"/>
  </r>
  <r>
    <x v="429"/>
    <x v="47"/>
    <x v="226"/>
    <x v="11"/>
    <x v="3"/>
    <x v="0"/>
    <x v="3"/>
    <s v="Stationery"/>
    <x v="5"/>
    <x v="40"/>
    <n v="2"/>
    <n v="0.1"/>
    <x v="428"/>
    <x v="4"/>
    <x v="7"/>
    <x v="2"/>
  </r>
  <r>
    <x v="430"/>
    <x v="314"/>
    <x v="121"/>
    <x v="9"/>
    <x v="7"/>
    <x v="2"/>
    <x v="4"/>
    <s v="Storage"/>
    <x v="14"/>
    <x v="171"/>
    <n v="2"/>
    <n v="0.05"/>
    <x v="429"/>
    <x v="4"/>
    <x v="2"/>
    <x v="0"/>
  </r>
  <r>
    <x v="431"/>
    <x v="289"/>
    <x v="227"/>
    <x v="15"/>
    <x v="11"/>
    <x v="2"/>
    <x v="1"/>
    <s v="Mobiles"/>
    <x v="6"/>
    <x v="92"/>
    <n v="6"/>
    <n v="0"/>
    <x v="430"/>
    <x v="0"/>
    <x v="7"/>
    <x v="2"/>
  </r>
  <r>
    <x v="432"/>
    <x v="315"/>
    <x v="139"/>
    <x v="0"/>
    <x v="0"/>
    <x v="0"/>
    <x v="0"/>
    <s v="Kitchen"/>
    <x v="8"/>
    <x v="230"/>
    <n v="3"/>
    <n v="0.05"/>
    <x v="431"/>
    <x v="3"/>
    <x v="1"/>
    <x v="2"/>
  </r>
  <r>
    <x v="433"/>
    <x v="223"/>
    <x v="219"/>
    <x v="14"/>
    <x v="10"/>
    <x v="0"/>
    <x v="3"/>
    <s v="Organizers"/>
    <x v="20"/>
    <x v="120"/>
    <n v="6"/>
    <n v="0.1"/>
    <x v="432"/>
    <x v="2"/>
    <x v="8"/>
    <x v="2"/>
  </r>
  <r>
    <x v="434"/>
    <x v="316"/>
    <x v="151"/>
    <x v="4"/>
    <x v="3"/>
    <x v="0"/>
    <x v="1"/>
    <s v="Accessories"/>
    <x v="16"/>
    <x v="77"/>
    <n v="3"/>
    <n v="0.15"/>
    <x v="433"/>
    <x v="4"/>
    <x v="2"/>
    <x v="1"/>
  </r>
  <r>
    <x v="435"/>
    <x v="317"/>
    <x v="50"/>
    <x v="12"/>
    <x v="9"/>
    <x v="0"/>
    <x v="3"/>
    <s v="Organizers"/>
    <x v="20"/>
    <x v="70"/>
    <n v="1"/>
    <n v="0.05"/>
    <x v="434"/>
    <x v="1"/>
    <x v="5"/>
    <x v="1"/>
  </r>
  <r>
    <x v="436"/>
    <x v="130"/>
    <x v="88"/>
    <x v="2"/>
    <x v="2"/>
    <x v="2"/>
    <x v="3"/>
    <s v="Stationery"/>
    <x v="5"/>
    <x v="34"/>
    <n v="4"/>
    <n v="0.05"/>
    <x v="435"/>
    <x v="0"/>
    <x v="4"/>
    <x v="0"/>
  </r>
  <r>
    <x v="437"/>
    <x v="318"/>
    <x v="57"/>
    <x v="5"/>
    <x v="4"/>
    <x v="3"/>
    <x v="1"/>
    <s v="Mobiles"/>
    <x v="1"/>
    <x v="231"/>
    <n v="3"/>
    <n v="0.05"/>
    <x v="436"/>
    <x v="1"/>
    <x v="4"/>
    <x v="0"/>
  </r>
  <r>
    <x v="438"/>
    <x v="309"/>
    <x v="200"/>
    <x v="9"/>
    <x v="7"/>
    <x v="2"/>
    <x v="3"/>
    <s v="Organizers"/>
    <x v="20"/>
    <x v="120"/>
    <n v="6"/>
    <n v="0.1"/>
    <x v="437"/>
    <x v="4"/>
    <x v="9"/>
    <x v="2"/>
  </r>
  <r>
    <x v="439"/>
    <x v="319"/>
    <x v="132"/>
    <x v="3"/>
    <x v="3"/>
    <x v="0"/>
    <x v="4"/>
    <s v="Chairs"/>
    <x v="10"/>
    <x v="25"/>
    <n v="5"/>
    <n v="0.05"/>
    <x v="438"/>
    <x v="4"/>
    <x v="7"/>
    <x v="2"/>
  </r>
  <r>
    <x v="440"/>
    <x v="320"/>
    <x v="50"/>
    <x v="5"/>
    <x v="4"/>
    <x v="3"/>
    <x v="3"/>
    <s v="Stationery"/>
    <x v="5"/>
    <x v="155"/>
    <n v="3"/>
    <n v="0.1"/>
    <x v="439"/>
    <x v="2"/>
    <x v="5"/>
    <x v="0"/>
  </r>
  <r>
    <x v="441"/>
    <x v="240"/>
    <x v="123"/>
    <x v="5"/>
    <x v="4"/>
    <x v="3"/>
    <x v="0"/>
    <s v="Kitchen"/>
    <x v="8"/>
    <x v="210"/>
    <n v="6"/>
    <n v="0"/>
    <x v="440"/>
    <x v="0"/>
    <x v="9"/>
    <x v="1"/>
  </r>
  <r>
    <x v="442"/>
    <x v="206"/>
    <x v="5"/>
    <x v="1"/>
    <x v="1"/>
    <x v="1"/>
    <x v="1"/>
    <s v="Mobiles"/>
    <x v="6"/>
    <x v="232"/>
    <n v="4"/>
    <n v="0.2"/>
    <x v="441"/>
    <x v="1"/>
    <x v="2"/>
    <x v="2"/>
  </r>
  <r>
    <x v="443"/>
    <x v="144"/>
    <x v="29"/>
    <x v="1"/>
    <x v="1"/>
    <x v="1"/>
    <x v="4"/>
    <s v="Chairs"/>
    <x v="10"/>
    <x v="189"/>
    <n v="3"/>
    <n v="0.1"/>
    <x v="442"/>
    <x v="0"/>
    <x v="2"/>
    <x v="0"/>
  </r>
  <r>
    <x v="444"/>
    <x v="321"/>
    <x v="84"/>
    <x v="0"/>
    <x v="0"/>
    <x v="0"/>
    <x v="4"/>
    <s v="Chairs"/>
    <x v="10"/>
    <x v="233"/>
    <n v="2"/>
    <n v="0"/>
    <x v="443"/>
    <x v="3"/>
    <x v="7"/>
    <x v="0"/>
  </r>
  <r>
    <x v="445"/>
    <x v="322"/>
    <x v="104"/>
    <x v="15"/>
    <x v="11"/>
    <x v="2"/>
    <x v="0"/>
    <s v="Kitchen"/>
    <x v="8"/>
    <x v="10"/>
    <n v="5"/>
    <n v="0.1"/>
    <x v="444"/>
    <x v="0"/>
    <x v="5"/>
    <x v="2"/>
  </r>
  <r>
    <x v="446"/>
    <x v="323"/>
    <x v="223"/>
    <x v="3"/>
    <x v="3"/>
    <x v="0"/>
    <x v="4"/>
    <s v="Tables"/>
    <x v="7"/>
    <x v="234"/>
    <n v="1"/>
    <n v="0.1"/>
    <x v="445"/>
    <x v="3"/>
    <x v="9"/>
    <x v="2"/>
  </r>
  <r>
    <x v="447"/>
    <x v="319"/>
    <x v="57"/>
    <x v="4"/>
    <x v="3"/>
    <x v="0"/>
    <x v="1"/>
    <s v="Mobiles"/>
    <x v="6"/>
    <x v="208"/>
    <n v="2"/>
    <n v="0.1"/>
    <x v="446"/>
    <x v="1"/>
    <x v="5"/>
    <x v="1"/>
  </r>
  <r>
    <x v="448"/>
    <x v="172"/>
    <x v="32"/>
    <x v="7"/>
    <x v="5"/>
    <x v="1"/>
    <x v="3"/>
    <s v="Organizers"/>
    <x v="20"/>
    <x v="82"/>
    <n v="2"/>
    <n v="0.1"/>
    <x v="447"/>
    <x v="1"/>
    <x v="1"/>
    <x v="0"/>
  </r>
  <r>
    <x v="449"/>
    <x v="41"/>
    <x v="101"/>
    <x v="11"/>
    <x v="3"/>
    <x v="0"/>
    <x v="1"/>
    <s v="Mobiles"/>
    <x v="1"/>
    <x v="109"/>
    <n v="2"/>
    <n v="0.05"/>
    <x v="448"/>
    <x v="3"/>
    <x v="9"/>
    <x v="0"/>
  </r>
  <r>
    <x v="450"/>
    <x v="202"/>
    <x v="62"/>
    <x v="9"/>
    <x v="7"/>
    <x v="2"/>
    <x v="0"/>
    <s v="Kitchen"/>
    <x v="8"/>
    <x v="191"/>
    <n v="4"/>
    <n v="0.1"/>
    <x v="449"/>
    <x v="1"/>
    <x v="2"/>
    <x v="1"/>
  </r>
  <r>
    <x v="451"/>
    <x v="144"/>
    <x v="228"/>
    <x v="13"/>
    <x v="3"/>
    <x v="0"/>
    <x v="1"/>
    <s v="Mobiles"/>
    <x v="6"/>
    <x v="235"/>
    <n v="1"/>
    <n v="0.15"/>
    <x v="450"/>
    <x v="0"/>
    <x v="0"/>
    <x v="1"/>
  </r>
  <r>
    <x v="452"/>
    <x v="324"/>
    <x v="113"/>
    <x v="10"/>
    <x v="8"/>
    <x v="3"/>
    <x v="0"/>
    <s v="Cleaning"/>
    <x v="0"/>
    <x v="236"/>
    <n v="1"/>
    <n v="0.15"/>
    <x v="451"/>
    <x v="0"/>
    <x v="1"/>
    <x v="2"/>
  </r>
  <r>
    <x v="453"/>
    <x v="88"/>
    <x v="229"/>
    <x v="13"/>
    <x v="3"/>
    <x v="0"/>
    <x v="3"/>
    <s v="Organizers"/>
    <x v="20"/>
    <x v="68"/>
    <n v="5"/>
    <n v="0.05"/>
    <x v="452"/>
    <x v="0"/>
    <x v="9"/>
    <x v="2"/>
  </r>
  <r>
    <x v="454"/>
    <x v="249"/>
    <x v="230"/>
    <x v="2"/>
    <x v="2"/>
    <x v="2"/>
    <x v="4"/>
    <s v="Chairs"/>
    <x v="9"/>
    <x v="237"/>
    <n v="1"/>
    <n v="0"/>
    <x v="453"/>
    <x v="0"/>
    <x v="1"/>
    <x v="0"/>
  </r>
  <r>
    <x v="455"/>
    <x v="325"/>
    <x v="37"/>
    <x v="5"/>
    <x v="4"/>
    <x v="3"/>
    <x v="1"/>
    <s v="Accessories"/>
    <x v="2"/>
    <x v="2"/>
    <n v="3"/>
    <n v="0.05"/>
    <x v="454"/>
    <x v="3"/>
    <x v="8"/>
    <x v="1"/>
  </r>
  <r>
    <x v="456"/>
    <x v="326"/>
    <x v="231"/>
    <x v="14"/>
    <x v="10"/>
    <x v="0"/>
    <x v="2"/>
    <s v="Women"/>
    <x v="3"/>
    <x v="238"/>
    <n v="1"/>
    <n v="0.05"/>
    <x v="455"/>
    <x v="3"/>
    <x v="7"/>
    <x v="0"/>
  </r>
  <r>
    <x v="457"/>
    <x v="165"/>
    <x v="91"/>
    <x v="2"/>
    <x v="2"/>
    <x v="2"/>
    <x v="4"/>
    <s v="Chairs"/>
    <x v="9"/>
    <x v="60"/>
    <n v="6"/>
    <n v="0"/>
    <x v="456"/>
    <x v="1"/>
    <x v="9"/>
    <x v="0"/>
  </r>
  <r>
    <x v="458"/>
    <x v="327"/>
    <x v="154"/>
    <x v="9"/>
    <x v="7"/>
    <x v="2"/>
    <x v="0"/>
    <s v="Kitchen"/>
    <x v="8"/>
    <x v="212"/>
    <n v="6"/>
    <n v="0.1"/>
    <x v="457"/>
    <x v="3"/>
    <x v="1"/>
    <x v="0"/>
  </r>
  <r>
    <x v="459"/>
    <x v="180"/>
    <x v="10"/>
    <x v="4"/>
    <x v="3"/>
    <x v="0"/>
    <x v="4"/>
    <s v="Chairs"/>
    <x v="10"/>
    <x v="86"/>
    <n v="3"/>
    <n v="0"/>
    <x v="458"/>
    <x v="3"/>
    <x v="3"/>
    <x v="0"/>
  </r>
  <r>
    <x v="460"/>
    <x v="328"/>
    <x v="15"/>
    <x v="13"/>
    <x v="3"/>
    <x v="0"/>
    <x v="4"/>
    <s v="Tables"/>
    <x v="7"/>
    <x v="239"/>
    <n v="3"/>
    <n v="0.15"/>
    <x v="459"/>
    <x v="3"/>
    <x v="8"/>
    <x v="1"/>
  </r>
  <r>
    <x v="461"/>
    <x v="231"/>
    <x v="195"/>
    <x v="10"/>
    <x v="8"/>
    <x v="3"/>
    <x v="1"/>
    <s v="Mobiles"/>
    <x v="6"/>
    <x v="138"/>
    <n v="1"/>
    <n v="0.1"/>
    <x v="460"/>
    <x v="0"/>
    <x v="5"/>
    <x v="1"/>
  </r>
  <r>
    <x v="462"/>
    <x v="107"/>
    <x v="98"/>
    <x v="14"/>
    <x v="10"/>
    <x v="0"/>
    <x v="0"/>
    <s v="Kitchen"/>
    <x v="8"/>
    <x v="240"/>
    <n v="3"/>
    <n v="0.1"/>
    <x v="461"/>
    <x v="3"/>
    <x v="0"/>
    <x v="1"/>
  </r>
  <r>
    <x v="463"/>
    <x v="329"/>
    <x v="223"/>
    <x v="14"/>
    <x v="10"/>
    <x v="0"/>
    <x v="0"/>
    <s v="Kitchen"/>
    <x v="8"/>
    <x v="241"/>
    <n v="1"/>
    <n v="0.05"/>
    <x v="462"/>
    <x v="3"/>
    <x v="4"/>
    <x v="0"/>
  </r>
  <r>
    <x v="464"/>
    <x v="330"/>
    <x v="100"/>
    <x v="12"/>
    <x v="9"/>
    <x v="0"/>
    <x v="0"/>
    <s v="Kitchen"/>
    <x v="18"/>
    <x v="98"/>
    <n v="5"/>
    <n v="0.05"/>
    <x v="463"/>
    <x v="0"/>
    <x v="5"/>
    <x v="1"/>
  </r>
  <r>
    <x v="465"/>
    <x v="331"/>
    <x v="112"/>
    <x v="2"/>
    <x v="2"/>
    <x v="2"/>
    <x v="1"/>
    <s v="Accessories"/>
    <x v="2"/>
    <x v="44"/>
    <n v="1"/>
    <n v="0"/>
    <x v="464"/>
    <x v="3"/>
    <x v="7"/>
    <x v="1"/>
  </r>
  <r>
    <x v="466"/>
    <x v="332"/>
    <x v="114"/>
    <x v="11"/>
    <x v="3"/>
    <x v="0"/>
    <x v="3"/>
    <s v="Stationery"/>
    <x v="5"/>
    <x v="242"/>
    <n v="6"/>
    <n v="0.05"/>
    <x v="465"/>
    <x v="4"/>
    <x v="5"/>
    <x v="0"/>
  </r>
  <r>
    <x v="467"/>
    <x v="333"/>
    <x v="6"/>
    <x v="11"/>
    <x v="3"/>
    <x v="0"/>
    <x v="4"/>
    <s v="Storage"/>
    <x v="14"/>
    <x v="141"/>
    <n v="2"/>
    <n v="0.15"/>
    <x v="466"/>
    <x v="0"/>
    <x v="6"/>
    <x v="0"/>
  </r>
  <r>
    <x v="468"/>
    <x v="234"/>
    <x v="78"/>
    <x v="15"/>
    <x v="11"/>
    <x v="2"/>
    <x v="3"/>
    <s v="Stationery"/>
    <x v="5"/>
    <x v="183"/>
    <n v="5"/>
    <n v="0.15"/>
    <x v="467"/>
    <x v="0"/>
    <x v="7"/>
    <x v="0"/>
  </r>
  <r>
    <x v="469"/>
    <x v="334"/>
    <x v="232"/>
    <x v="2"/>
    <x v="2"/>
    <x v="2"/>
    <x v="2"/>
    <s v="Men"/>
    <x v="11"/>
    <x v="243"/>
    <n v="1"/>
    <n v="0.05"/>
    <x v="468"/>
    <x v="3"/>
    <x v="5"/>
    <x v="1"/>
  </r>
  <r>
    <x v="470"/>
    <x v="335"/>
    <x v="163"/>
    <x v="15"/>
    <x v="11"/>
    <x v="2"/>
    <x v="0"/>
    <s v="Cooling"/>
    <x v="13"/>
    <x v="105"/>
    <n v="6"/>
    <n v="0"/>
    <x v="469"/>
    <x v="4"/>
    <x v="7"/>
    <x v="2"/>
  </r>
  <r>
    <x v="471"/>
    <x v="205"/>
    <x v="233"/>
    <x v="11"/>
    <x v="3"/>
    <x v="0"/>
    <x v="4"/>
    <s v="Storage"/>
    <x v="14"/>
    <x v="181"/>
    <n v="5"/>
    <n v="0.1"/>
    <x v="470"/>
    <x v="2"/>
    <x v="8"/>
    <x v="0"/>
  </r>
  <r>
    <x v="472"/>
    <x v="336"/>
    <x v="232"/>
    <x v="12"/>
    <x v="9"/>
    <x v="0"/>
    <x v="4"/>
    <s v="Storage"/>
    <x v="14"/>
    <x v="244"/>
    <n v="6"/>
    <n v="0.05"/>
    <x v="471"/>
    <x v="0"/>
    <x v="6"/>
    <x v="1"/>
  </r>
  <r>
    <x v="473"/>
    <x v="337"/>
    <x v="210"/>
    <x v="2"/>
    <x v="2"/>
    <x v="2"/>
    <x v="2"/>
    <s v="Men"/>
    <x v="11"/>
    <x v="89"/>
    <n v="4"/>
    <n v="0.2"/>
    <x v="472"/>
    <x v="1"/>
    <x v="7"/>
    <x v="2"/>
  </r>
  <r>
    <x v="474"/>
    <x v="338"/>
    <x v="145"/>
    <x v="11"/>
    <x v="3"/>
    <x v="0"/>
    <x v="1"/>
    <s v="Mobiles"/>
    <x v="6"/>
    <x v="211"/>
    <n v="6"/>
    <n v="0.1"/>
    <x v="473"/>
    <x v="0"/>
    <x v="8"/>
    <x v="2"/>
  </r>
  <r>
    <x v="475"/>
    <x v="339"/>
    <x v="187"/>
    <x v="9"/>
    <x v="7"/>
    <x v="2"/>
    <x v="1"/>
    <s v="Accessories"/>
    <x v="2"/>
    <x v="21"/>
    <n v="2"/>
    <n v="0.05"/>
    <x v="474"/>
    <x v="3"/>
    <x v="3"/>
    <x v="0"/>
  </r>
  <r>
    <x v="476"/>
    <x v="340"/>
    <x v="11"/>
    <x v="4"/>
    <x v="3"/>
    <x v="0"/>
    <x v="4"/>
    <s v="Tables"/>
    <x v="7"/>
    <x v="239"/>
    <n v="3"/>
    <n v="0.15"/>
    <x v="475"/>
    <x v="3"/>
    <x v="5"/>
    <x v="0"/>
  </r>
  <r>
    <x v="477"/>
    <x v="6"/>
    <x v="234"/>
    <x v="6"/>
    <x v="1"/>
    <x v="1"/>
    <x v="2"/>
    <s v="Women"/>
    <x v="3"/>
    <x v="88"/>
    <n v="3"/>
    <n v="0.15"/>
    <x v="476"/>
    <x v="3"/>
    <x v="5"/>
    <x v="2"/>
  </r>
  <r>
    <x v="478"/>
    <x v="294"/>
    <x v="201"/>
    <x v="7"/>
    <x v="5"/>
    <x v="1"/>
    <x v="2"/>
    <s v="Women"/>
    <x v="3"/>
    <x v="245"/>
    <n v="5"/>
    <n v="0.05"/>
    <x v="477"/>
    <x v="3"/>
    <x v="4"/>
    <x v="1"/>
  </r>
  <r>
    <x v="479"/>
    <x v="199"/>
    <x v="71"/>
    <x v="3"/>
    <x v="3"/>
    <x v="0"/>
    <x v="4"/>
    <s v="Chairs"/>
    <x v="9"/>
    <x v="137"/>
    <n v="4"/>
    <n v="0.15"/>
    <x v="478"/>
    <x v="4"/>
    <x v="7"/>
    <x v="0"/>
  </r>
  <r>
    <x v="480"/>
    <x v="157"/>
    <x v="62"/>
    <x v="3"/>
    <x v="3"/>
    <x v="0"/>
    <x v="1"/>
    <s v="Laptops"/>
    <x v="19"/>
    <x v="177"/>
    <n v="2"/>
    <n v="0.05"/>
    <x v="479"/>
    <x v="0"/>
    <x v="9"/>
    <x v="0"/>
  </r>
  <r>
    <x v="481"/>
    <x v="187"/>
    <x v="102"/>
    <x v="15"/>
    <x v="11"/>
    <x v="2"/>
    <x v="0"/>
    <s v="Kitchen"/>
    <x v="18"/>
    <x v="165"/>
    <n v="2"/>
    <n v="0"/>
    <x v="480"/>
    <x v="3"/>
    <x v="9"/>
    <x v="2"/>
  </r>
  <r>
    <x v="482"/>
    <x v="341"/>
    <x v="61"/>
    <x v="3"/>
    <x v="3"/>
    <x v="0"/>
    <x v="3"/>
    <s v="Stationery"/>
    <x v="5"/>
    <x v="193"/>
    <n v="3"/>
    <n v="0.15"/>
    <x v="481"/>
    <x v="2"/>
    <x v="7"/>
    <x v="0"/>
  </r>
  <r>
    <x v="483"/>
    <x v="342"/>
    <x v="8"/>
    <x v="9"/>
    <x v="7"/>
    <x v="2"/>
    <x v="1"/>
    <s v="Laptops"/>
    <x v="17"/>
    <x v="246"/>
    <n v="6"/>
    <n v="0.15"/>
    <x v="482"/>
    <x v="4"/>
    <x v="8"/>
    <x v="2"/>
  </r>
  <r>
    <x v="484"/>
    <x v="88"/>
    <x v="125"/>
    <x v="8"/>
    <x v="6"/>
    <x v="4"/>
    <x v="4"/>
    <s v="Storage"/>
    <x v="14"/>
    <x v="247"/>
    <n v="4"/>
    <n v="0.05"/>
    <x v="483"/>
    <x v="0"/>
    <x v="2"/>
    <x v="0"/>
  </r>
  <r>
    <x v="485"/>
    <x v="30"/>
    <x v="101"/>
    <x v="5"/>
    <x v="4"/>
    <x v="3"/>
    <x v="1"/>
    <s v="Laptops"/>
    <x v="17"/>
    <x v="248"/>
    <n v="1"/>
    <n v="0.15"/>
    <x v="484"/>
    <x v="0"/>
    <x v="3"/>
    <x v="1"/>
  </r>
  <r>
    <x v="486"/>
    <x v="12"/>
    <x v="235"/>
    <x v="12"/>
    <x v="9"/>
    <x v="0"/>
    <x v="3"/>
    <s v="Organizers"/>
    <x v="20"/>
    <x v="249"/>
    <n v="5"/>
    <n v="0.15"/>
    <x v="485"/>
    <x v="1"/>
    <x v="6"/>
    <x v="1"/>
  </r>
  <r>
    <x v="487"/>
    <x v="268"/>
    <x v="158"/>
    <x v="8"/>
    <x v="6"/>
    <x v="4"/>
    <x v="3"/>
    <s v="Stationery"/>
    <x v="15"/>
    <x v="18"/>
    <n v="3"/>
    <n v="0.05"/>
    <x v="486"/>
    <x v="4"/>
    <x v="1"/>
    <x v="2"/>
  </r>
  <r>
    <x v="488"/>
    <x v="227"/>
    <x v="236"/>
    <x v="10"/>
    <x v="8"/>
    <x v="3"/>
    <x v="4"/>
    <s v="Chairs"/>
    <x v="9"/>
    <x v="48"/>
    <n v="6"/>
    <n v="0.15"/>
    <x v="487"/>
    <x v="2"/>
    <x v="2"/>
    <x v="2"/>
  </r>
  <r>
    <x v="489"/>
    <x v="343"/>
    <x v="144"/>
    <x v="14"/>
    <x v="10"/>
    <x v="0"/>
    <x v="3"/>
    <s v="Organizers"/>
    <x v="20"/>
    <x v="249"/>
    <n v="5"/>
    <n v="0.15"/>
    <x v="488"/>
    <x v="1"/>
    <x v="4"/>
    <x v="2"/>
  </r>
  <r>
    <x v="490"/>
    <x v="344"/>
    <x v="77"/>
    <x v="4"/>
    <x v="3"/>
    <x v="0"/>
    <x v="4"/>
    <s v="Tables"/>
    <x v="7"/>
    <x v="250"/>
    <n v="3"/>
    <n v="0.1"/>
    <x v="489"/>
    <x v="4"/>
    <x v="8"/>
    <x v="2"/>
  </r>
  <r>
    <x v="491"/>
    <x v="146"/>
    <x v="140"/>
    <x v="1"/>
    <x v="1"/>
    <x v="1"/>
    <x v="3"/>
    <s v="Stationery"/>
    <x v="15"/>
    <x v="251"/>
    <n v="4"/>
    <n v="0.15"/>
    <x v="490"/>
    <x v="4"/>
    <x v="3"/>
    <x v="2"/>
  </r>
  <r>
    <x v="492"/>
    <x v="345"/>
    <x v="131"/>
    <x v="0"/>
    <x v="0"/>
    <x v="0"/>
    <x v="4"/>
    <s v="Chairs"/>
    <x v="10"/>
    <x v="102"/>
    <n v="4"/>
    <n v="0"/>
    <x v="491"/>
    <x v="1"/>
    <x v="1"/>
    <x v="2"/>
  </r>
  <r>
    <x v="493"/>
    <x v="224"/>
    <x v="176"/>
    <x v="10"/>
    <x v="8"/>
    <x v="3"/>
    <x v="4"/>
    <s v="Storage"/>
    <x v="14"/>
    <x v="87"/>
    <n v="4"/>
    <n v="0.1"/>
    <x v="492"/>
    <x v="4"/>
    <x v="5"/>
    <x v="2"/>
  </r>
  <r>
    <x v="494"/>
    <x v="346"/>
    <x v="38"/>
    <x v="2"/>
    <x v="2"/>
    <x v="2"/>
    <x v="1"/>
    <s v="Laptops"/>
    <x v="17"/>
    <x v="93"/>
    <n v="4"/>
    <n v="0"/>
    <x v="493"/>
    <x v="0"/>
    <x v="9"/>
    <x v="2"/>
  </r>
  <r>
    <x v="495"/>
    <x v="347"/>
    <x v="106"/>
    <x v="2"/>
    <x v="2"/>
    <x v="2"/>
    <x v="1"/>
    <s v="Laptops"/>
    <x v="17"/>
    <x v="252"/>
    <n v="4"/>
    <n v="0.15"/>
    <x v="494"/>
    <x v="3"/>
    <x v="4"/>
    <x v="2"/>
  </r>
  <r>
    <x v="496"/>
    <x v="138"/>
    <x v="237"/>
    <x v="2"/>
    <x v="2"/>
    <x v="2"/>
    <x v="1"/>
    <s v="Mobiles"/>
    <x v="1"/>
    <x v="118"/>
    <n v="6"/>
    <n v="0"/>
    <x v="495"/>
    <x v="3"/>
    <x v="7"/>
    <x v="0"/>
  </r>
  <r>
    <x v="497"/>
    <x v="348"/>
    <x v="42"/>
    <x v="6"/>
    <x v="1"/>
    <x v="1"/>
    <x v="1"/>
    <s v="Mobiles"/>
    <x v="6"/>
    <x v="221"/>
    <n v="5"/>
    <n v="0"/>
    <x v="496"/>
    <x v="3"/>
    <x v="7"/>
    <x v="2"/>
  </r>
  <r>
    <x v="498"/>
    <x v="49"/>
    <x v="131"/>
    <x v="9"/>
    <x v="7"/>
    <x v="2"/>
    <x v="1"/>
    <s v="Accessories"/>
    <x v="16"/>
    <x v="40"/>
    <n v="1"/>
    <n v="0.1"/>
    <x v="497"/>
    <x v="4"/>
    <x v="7"/>
    <x v="0"/>
  </r>
  <r>
    <x v="499"/>
    <x v="277"/>
    <x v="238"/>
    <x v="2"/>
    <x v="2"/>
    <x v="2"/>
    <x v="3"/>
    <s v="Stationery"/>
    <x v="15"/>
    <x v="95"/>
    <n v="2"/>
    <n v="0"/>
    <x v="498"/>
    <x v="4"/>
    <x v="1"/>
    <x v="2"/>
  </r>
  <r>
    <x v="500"/>
    <x v="349"/>
    <x v="239"/>
    <x v="1"/>
    <x v="1"/>
    <x v="1"/>
    <x v="2"/>
    <s v="Women"/>
    <x v="4"/>
    <x v="253"/>
    <n v="5"/>
    <n v="0"/>
    <x v="499"/>
    <x v="1"/>
    <x v="2"/>
    <x v="1"/>
  </r>
  <r>
    <x v="501"/>
    <x v="97"/>
    <x v="240"/>
    <x v="12"/>
    <x v="9"/>
    <x v="0"/>
    <x v="4"/>
    <s v="Chairs"/>
    <x v="10"/>
    <x v="158"/>
    <n v="5"/>
    <n v="0.1"/>
    <x v="500"/>
    <x v="0"/>
    <x v="7"/>
    <x v="1"/>
  </r>
  <r>
    <x v="502"/>
    <x v="131"/>
    <x v="157"/>
    <x v="6"/>
    <x v="1"/>
    <x v="1"/>
    <x v="0"/>
    <s v="Cooling"/>
    <x v="13"/>
    <x v="233"/>
    <n v="2"/>
    <n v="0"/>
    <x v="501"/>
    <x v="0"/>
    <x v="7"/>
    <x v="1"/>
  </r>
  <r>
    <x v="503"/>
    <x v="350"/>
    <x v="5"/>
    <x v="0"/>
    <x v="0"/>
    <x v="0"/>
    <x v="1"/>
    <s v="Accessories"/>
    <x v="2"/>
    <x v="6"/>
    <n v="1"/>
    <n v="0.1"/>
    <x v="502"/>
    <x v="0"/>
    <x v="2"/>
    <x v="1"/>
  </r>
  <r>
    <x v="504"/>
    <x v="351"/>
    <x v="175"/>
    <x v="0"/>
    <x v="0"/>
    <x v="0"/>
    <x v="3"/>
    <s v="Paper"/>
    <x v="12"/>
    <x v="254"/>
    <n v="2"/>
    <n v="0"/>
    <x v="503"/>
    <x v="1"/>
    <x v="0"/>
    <x v="1"/>
  </r>
  <r>
    <x v="505"/>
    <x v="322"/>
    <x v="229"/>
    <x v="8"/>
    <x v="6"/>
    <x v="4"/>
    <x v="2"/>
    <s v="Men"/>
    <x v="21"/>
    <x v="111"/>
    <n v="3"/>
    <n v="0.15"/>
    <x v="504"/>
    <x v="1"/>
    <x v="6"/>
    <x v="1"/>
  </r>
  <r>
    <x v="506"/>
    <x v="94"/>
    <x v="201"/>
    <x v="3"/>
    <x v="3"/>
    <x v="0"/>
    <x v="1"/>
    <s v="Accessories"/>
    <x v="16"/>
    <x v="6"/>
    <n v="2"/>
    <n v="0.1"/>
    <x v="505"/>
    <x v="0"/>
    <x v="6"/>
    <x v="1"/>
  </r>
  <r>
    <x v="507"/>
    <x v="303"/>
    <x v="234"/>
    <x v="0"/>
    <x v="0"/>
    <x v="0"/>
    <x v="0"/>
    <s v="Cleaning"/>
    <x v="0"/>
    <x v="255"/>
    <n v="2"/>
    <n v="0.2"/>
    <x v="506"/>
    <x v="3"/>
    <x v="4"/>
    <x v="2"/>
  </r>
  <r>
    <x v="508"/>
    <x v="352"/>
    <x v="241"/>
    <x v="2"/>
    <x v="2"/>
    <x v="2"/>
    <x v="3"/>
    <s v="Paper"/>
    <x v="12"/>
    <x v="72"/>
    <n v="3"/>
    <n v="0.05"/>
    <x v="507"/>
    <x v="4"/>
    <x v="7"/>
    <x v="2"/>
  </r>
  <r>
    <x v="509"/>
    <x v="164"/>
    <x v="211"/>
    <x v="4"/>
    <x v="3"/>
    <x v="0"/>
    <x v="4"/>
    <s v="Tables"/>
    <x v="7"/>
    <x v="226"/>
    <n v="3"/>
    <n v="0"/>
    <x v="508"/>
    <x v="0"/>
    <x v="7"/>
    <x v="1"/>
  </r>
  <r>
    <x v="510"/>
    <x v="353"/>
    <x v="242"/>
    <x v="14"/>
    <x v="10"/>
    <x v="0"/>
    <x v="0"/>
    <s v="Kitchen"/>
    <x v="18"/>
    <x v="41"/>
    <n v="2"/>
    <n v="0.1"/>
    <x v="509"/>
    <x v="0"/>
    <x v="6"/>
    <x v="0"/>
  </r>
  <r>
    <x v="511"/>
    <x v="354"/>
    <x v="102"/>
    <x v="9"/>
    <x v="7"/>
    <x v="2"/>
    <x v="0"/>
    <s v="Kitchen"/>
    <x v="8"/>
    <x v="76"/>
    <n v="5"/>
    <n v="0.05"/>
    <x v="510"/>
    <x v="2"/>
    <x v="6"/>
    <x v="1"/>
  </r>
  <r>
    <x v="512"/>
    <x v="248"/>
    <x v="158"/>
    <x v="11"/>
    <x v="3"/>
    <x v="0"/>
    <x v="1"/>
    <s v="Mobiles"/>
    <x v="1"/>
    <x v="24"/>
    <n v="2"/>
    <n v="0.15"/>
    <x v="511"/>
    <x v="3"/>
    <x v="9"/>
    <x v="2"/>
  </r>
  <r>
    <x v="513"/>
    <x v="355"/>
    <x v="207"/>
    <x v="0"/>
    <x v="0"/>
    <x v="0"/>
    <x v="2"/>
    <s v="Women"/>
    <x v="4"/>
    <x v="112"/>
    <n v="5"/>
    <n v="0.2"/>
    <x v="512"/>
    <x v="4"/>
    <x v="6"/>
    <x v="2"/>
  </r>
  <r>
    <x v="514"/>
    <x v="356"/>
    <x v="223"/>
    <x v="5"/>
    <x v="4"/>
    <x v="3"/>
    <x v="3"/>
    <s v="Stationery"/>
    <x v="5"/>
    <x v="256"/>
    <n v="6"/>
    <n v="0.1"/>
    <x v="513"/>
    <x v="0"/>
    <x v="9"/>
    <x v="1"/>
  </r>
  <r>
    <x v="515"/>
    <x v="357"/>
    <x v="147"/>
    <x v="10"/>
    <x v="8"/>
    <x v="3"/>
    <x v="0"/>
    <s v="Kitchen"/>
    <x v="18"/>
    <x v="83"/>
    <n v="3"/>
    <n v="0.15"/>
    <x v="514"/>
    <x v="0"/>
    <x v="8"/>
    <x v="1"/>
  </r>
  <r>
    <x v="516"/>
    <x v="358"/>
    <x v="243"/>
    <x v="7"/>
    <x v="5"/>
    <x v="1"/>
    <x v="0"/>
    <s v="Kitchen"/>
    <x v="18"/>
    <x v="98"/>
    <n v="5"/>
    <n v="0.05"/>
    <x v="515"/>
    <x v="2"/>
    <x v="2"/>
    <x v="0"/>
  </r>
  <r>
    <x v="517"/>
    <x v="359"/>
    <x v="230"/>
    <x v="5"/>
    <x v="4"/>
    <x v="3"/>
    <x v="1"/>
    <s v="Accessories"/>
    <x v="16"/>
    <x v="256"/>
    <n v="3"/>
    <n v="0.1"/>
    <x v="516"/>
    <x v="2"/>
    <x v="2"/>
    <x v="0"/>
  </r>
  <r>
    <x v="518"/>
    <x v="360"/>
    <x v="47"/>
    <x v="10"/>
    <x v="8"/>
    <x v="3"/>
    <x v="1"/>
    <s v="Mobiles"/>
    <x v="1"/>
    <x v="24"/>
    <n v="2"/>
    <n v="0.15"/>
    <x v="517"/>
    <x v="1"/>
    <x v="3"/>
    <x v="0"/>
  </r>
  <r>
    <x v="519"/>
    <x v="289"/>
    <x v="149"/>
    <x v="2"/>
    <x v="2"/>
    <x v="2"/>
    <x v="2"/>
    <s v="Men"/>
    <x v="11"/>
    <x v="37"/>
    <n v="2"/>
    <n v="0.1"/>
    <x v="518"/>
    <x v="4"/>
    <x v="5"/>
    <x v="0"/>
  </r>
  <r>
    <x v="520"/>
    <x v="361"/>
    <x v="244"/>
    <x v="2"/>
    <x v="2"/>
    <x v="2"/>
    <x v="1"/>
    <s v="Mobiles"/>
    <x v="6"/>
    <x v="257"/>
    <n v="3"/>
    <n v="0.1"/>
    <x v="519"/>
    <x v="3"/>
    <x v="0"/>
    <x v="1"/>
  </r>
  <r>
    <x v="521"/>
    <x v="362"/>
    <x v="176"/>
    <x v="5"/>
    <x v="4"/>
    <x v="3"/>
    <x v="3"/>
    <s v="Paper"/>
    <x v="12"/>
    <x v="258"/>
    <n v="6"/>
    <n v="0.1"/>
    <x v="520"/>
    <x v="0"/>
    <x v="3"/>
    <x v="0"/>
  </r>
  <r>
    <x v="522"/>
    <x v="363"/>
    <x v="245"/>
    <x v="5"/>
    <x v="4"/>
    <x v="3"/>
    <x v="1"/>
    <s v="Accessories"/>
    <x v="2"/>
    <x v="253"/>
    <n v="5"/>
    <n v="0"/>
    <x v="521"/>
    <x v="0"/>
    <x v="8"/>
    <x v="1"/>
  </r>
  <r>
    <x v="523"/>
    <x v="364"/>
    <x v="246"/>
    <x v="10"/>
    <x v="8"/>
    <x v="3"/>
    <x v="1"/>
    <s v="Accessories"/>
    <x v="2"/>
    <x v="72"/>
    <n v="4"/>
    <n v="0.05"/>
    <x v="522"/>
    <x v="2"/>
    <x v="4"/>
    <x v="1"/>
  </r>
  <r>
    <x v="524"/>
    <x v="210"/>
    <x v="129"/>
    <x v="6"/>
    <x v="1"/>
    <x v="1"/>
    <x v="1"/>
    <s v="Laptops"/>
    <x v="17"/>
    <x v="123"/>
    <n v="1"/>
    <n v="0"/>
    <x v="523"/>
    <x v="1"/>
    <x v="5"/>
    <x v="0"/>
  </r>
  <r>
    <x v="525"/>
    <x v="202"/>
    <x v="130"/>
    <x v="2"/>
    <x v="2"/>
    <x v="2"/>
    <x v="1"/>
    <s v="Accessories"/>
    <x v="16"/>
    <x v="57"/>
    <n v="1"/>
    <n v="0"/>
    <x v="524"/>
    <x v="3"/>
    <x v="8"/>
    <x v="1"/>
  </r>
  <r>
    <x v="526"/>
    <x v="365"/>
    <x v="101"/>
    <x v="11"/>
    <x v="3"/>
    <x v="0"/>
    <x v="1"/>
    <s v="Laptops"/>
    <x v="19"/>
    <x v="43"/>
    <n v="6"/>
    <n v="0.05"/>
    <x v="525"/>
    <x v="1"/>
    <x v="9"/>
    <x v="1"/>
  </r>
  <r>
    <x v="527"/>
    <x v="225"/>
    <x v="146"/>
    <x v="7"/>
    <x v="5"/>
    <x v="1"/>
    <x v="3"/>
    <s v="Paper"/>
    <x v="12"/>
    <x v="258"/>
    <n v="6"/>
    <n v="0.1"/>
    <x v="526"/>
    <x v="0"/>
    <x v="4"/>
    <x v="0"/>
  </r>
  <r>
    <x v="528"/>
    <x v="366"/>
    <x v="34"/>
    <x v="1"/>
    <x v="1"/>
    <x v="1"/>
    <x v="2"/>
    <s v="Men"/>
    <x v="11"/>
    <x v="14"/>
    <n v="1"/>
    <n v="0.2"/>
    <x v="527"/>
    <x v="0"/>
    <x v="7"/>
    <x v="2"/>
  </r>
  <r>
    <x v="529"/>
    <x v="367"/>
    <x v="129"/>
    <x v="0"/>
    <x v="0"/>
    <x v="0"/>
    <x v="1"/>
    <s v="Mobiles"/>
    <x v="1"/>
    <x v="90"/>
    <n v="5"/>
    <n v="0.15"/>
    <x v="528"/>
    <x v="0"/>
    <x v="5"/>
    <x v="0"/>
  </r>
  <r>
    <x v="530"/>
    <x v="368"/>
    <x v="202"/>
    <x v="15"/>
    <x v="11"/>
    <x v="2"/>
    <x v="1"/>
    <s v="Laptops"/>
    <x v="17"/>
    <x v="30"/>
    <n v="3"/>
    <n v="0.15"/>
    <x v="529"/>
    <x v="1"/>
    <x v="4"/>
    <x v="0"/>
  </r>
  <r>
    <x v="531"/>
    <x v="369"/>
    <x v="67"/>
    <x v="2"/>
    <x v="2"/>
    <x v="2"/>
    <x v="0"/>
    <s v="Kitchen"/>
    <x v="8"/>
    <x v="259"/>
    <n v="5"/>
    <n v="0.2"/>
    <x v="530"/>
    <x v="0"/>
    <x v="0"/>
    <x v="1"/>
  </r>
  <r>
    <x v="532"/>
    <x v="370"/>
    <x v="114"/>
    <x v="15"/>
    <x v="11"/>
    <x v="2"/>
    <x v="2"/>
    <s v="Women"/>
    <x v="3"/>
    <x v="224"/>
    <n v="4"/>
    <n v="0.1"/>
    <x v="531"/>
    <x v="4"/>
    <x v="2"/>
    <x v="0"/>
  </r>
  <r>
    <x v="533"/>
    <x v="371"/>
    <x v="242"/>
    <x v="5"/>
    <x v="4"/>
    <x v="3"/>
    <x v="1"/>
    <s v="Accessories"/>
    <x v="2"/>
    <x v="143"/>
    <n v="3"/>
    <n v="0"/>
    <x v="532"/>
    <x v="2"/>
    <x v="3"/>
    <x v="2"/>
  </r>
  <r>
    <x v="534"/>
    <x v="17"/>
    <x v="179"/>
    <x v="4"/>
    <x v="3"/>
    <x v="0"/>
    <x v="3"/>
    <s v="Paper"/>
    <x v="12"/>
    <x v="59"/>
    <n v="5"/>
    <n v="0.15"/>
    <x v="533"/>
    <x v="3"/>
    <x v="9"/>
    <x v="1"/>
  </r>
  <r>
    <x v="535"/>
    <x v="279"/>
    <x v="118"/>
    <x v="3"/>
    <x v="3"/>
    <x v="0"/>
    <x v="0"/>
    <s v="Cooling"/>
    <x v="13"/>
    <x v="189"/>
    <n v="3"/>
    <n v="0.1"/>
    <x v="534"/>
    <x v="4"/>
    <x v="9"/>
    <x v="1"/>
  </r>
  <r>
    <x v="536"/>
    <x v="49"/>
    <x v="245"/>
    <x v="5"/>
    <x v="4"/>
    <x v="3"/>
    <x v="3"/>
    <s v="Paper"/>
    <x v="12"/>
    <x v="260"/>
    <n v="1"/>
    <n v="0.15"/>
    <x v="535"/>
    <x v="2"/>
    <x v="0"/>
    <x v="0"/>
  </r>
  <r>
    <x v="537"/>
    <x v="227"/>
    <x v="148"/>
    <x v="13"/>
    <x v="3"/>
    <x v="0"/>
    <x v="4"/>
    <s v="Chairs"/>
    <x v="10"/>
    <x v="102"/>
    <n v="4"/>
    <n v="0"/>
    <x v="536"/>
    <x v="2"/>
    <x v="3"/>
    <x v="2"/>
  </r>
  <r>
    <x v="538"/>
    <x v="82"/>
    <x v="247"/>
    <x v="11"/>
    <x v="3"/>
    <x v="0"/>
    <x v="0"/>
    <s v="Cleaning"/>
    <x v="0"/>
    <x v="261"/>
    <n v="4"/>
    <n v="0.15"/>
    <x v="537"/>
    <x v="4"/>
    <x v="4"/>
    <x v="1"/>
  </r>
  <r>
    <x v="539"/>
    <x v="371"/>
    <x v="248"/>
    <x v="14"/>
    <x v="10"/>
    <x v="0"/>
    <x v="3"/>
    <s v="Stationery"/>
    <x v="15"/>
    <x v="192"/>
    <n v="1"/>
    <n v="0.05"/>
    <x v="538"/>
    <x v="4"/>
    <x v="7"/>
    <x v="1"/>
  </r>
  <r>
    <x v="540"/>
    <x v="372"/>
    <x v="249"/>
    <x v="1"/>
    <x v="1"/>
    <x v="1"/>
    <x v="2"/>
    <s v="Men"/>
    <x v="11"/>
    <x v="262"/>
    <n v="6"/>
    <n v="0.05"/>
    <x v="539"/>
    <x v="3"/>
    <x v="7"/>
    <x v="1"/>
  </r>
  <r>
    <x v="541"/>
    <x v="358"/>
    <x v="82"/>
    <x v="9"/>
    <x v="7"/>
    <x v="2"/>
    <x v="1"/>
    <s v="Accessories"/>
    <x v="16"/>
    <x v="41"/>
    <n v="4"/>
    <n v="0.1"/>
    <x v="540"/>
    <x v="1"/>
    <x v="0"/>
    <x v="1"/>
  </r>
  <r>
    <x v="542"/>
    <x v="277"/>
    <x v="55"/>
    <x v="4"/>
    <x v="3"/>
    <x v="0"/>
    <x v="4"/>
    <s v="Tables"/>
    <x v="7"/>
    <x v="263"/>
    <n v="1"/>
    <n v="0.05"/>
    <x v="541"/>
    <x v="2"/>
    <x v="2"/>
    <x v="2"/>
  </r>
  <r>
    <x v="543"/>
    <x v="215"/>
    <x v="250"/>
    <x v="12"/>
    <x v="9"/>
    <x v="0"/>
    <x v="0"/>
    <s v="Cleaning"/>
    <x v="0"/>
    <x v="235"/>
    <n v="4"/>
    <n v="0.05"/>
    <x v="542"/>
    <x v="2"/>
    <x v="3"/>
    <x v="2"/>
  </r>
  <r>
    <x v="544"/>
    <x v="238"/>
    <x v="236"/>
    <x v="4"/>
    <x v="3"/>
    <x v="0"/>
    <x v="3"/>
    <s v="Stationery"/>
    <x v="15"/>
    <x v="264"/>
    <n v="1"/>
    <n v="0.15"/>
    <x v="543"/>
    <x v="3"/>
    <x v="8"/>
    <x v="1"/>
  </r>
  <r>
    <x v="545"/>
    <x v="350"/>
    <x v="64"/>
    <x v="5"/>
    <x v="4"/>
    <x v="3"/>
    <x v="0"/>
    <s v="Cooling"/>
    <x v="13"/>
    <x v="25"/>
    <n v="5"/>
    <n v="0.05"/>
    <x v="544"/>
    <x v="1"/>
    <x v="3"/>
    <x v="1"/>
  </r>
  <r>
    <x v="546"/>
    <x v="30"/>
    <x v="93"/>
    <x v="8"/>
    <x v="6"/>
    <x v="4"/>
    <x v="3"/>
    <s v="Paper"/>
    <x v="12"/>
    <x v="72"/>
    <n v="3"/>
    <n v="0.05"/>
    <x v="545"/>
    <x v="2"/>
    <x v="4"/>
    <x v="0"/>
  </r>
  <r>
    <x v="547"/>
    <x v="373"/>
    <x v="25"/>
    <x v="12"/>
    <x v="9"/>
    <x v="0"/>
    <x v="1"/>
    <s v="Accessories"/>
    <x v="16"/>
    <x v="114"/>
    <n v="5"/>
    <n v="0.05"/>
    <x v="546"/>
    <x v="1"/>
    <x v="9"/>
    <x v="0"/>
  </r>
  <r>
    <x v="548"/>
    <x v="206"/>
    <x v="202"/>
    <x v="11"/>
    <x v="3"/>
    <x v="0"/>
    <x v="3"/>
    <s v="Stationery"/>
    <x v="15"/>
    <x v="51"/>
    <n v="5"/>
    <n v="0.05"/>
    <x v="547"/>
    <x v="2"/>
    <x v="5"/>
    <x v="2"/>
  </r>
  <r>
    <x v="549"/>
    <x v="374"/>
    <x v="162"/>
    <x v="12"/>
    <x v="9"/>
    <x v="0"/>
    <x v="3"/>
    <s v="Organizers"/>
    <x v="20"/>
    <x v="265"/>
    <n v="1"/>
    <n v="0.1"/>
    <x v="548"/>
    <x v="3"/>
    <x v="1"/>
    <x v="0"/>
  </r>
  <r>
    <x v="550"/>
    <x v="102"/>
    <x v="96"/>
    <x v="9"/>
    <x v="7"/>
    <x v="2"/>
    <x v="4"/>
    <s v="Chairs"/>
    <x v="10"/>
    <x v="132"/>
    <n v="2"/>
    <n v="0.05"/>
    <x v="549"/>
    <x v="0"/>
    <x v="2"/>
    <x v="0"/>
  </r>
  <r>
    <x v="551"/>
    <x v="249"/>
    <x v="47"/>
    <x v="6"/>
    <x v="1"/>
    <x v="1"/>
    <x v="3"/>
    <s v="Stationery"/>
    <x v="5"/>
    <x v="32"/>
    <n v="5"/>
    <n v="0.1"/>
    <x v="550"/>
    <x v="0"/>
    <x v="7"/>
    <x v="2"/>
  </r>
  <r>
    <x v="552"/>
    <x v="172"/>
    <x v="2"/>
    <x v="0"/>
    <x v="0"/>
    <x v="0"/>
    <x v="0"/>
    <s v="Kitchen"/>
    <x v="8"/>
    <x v="178"/>
    <n v="2"/>
    <n v="0.1"/>
    <x v="551"/>
    <x v="2"/>
    <x v="8"/>
    <x v="2"/>
  </r>
  <r>
    <x v="553"/>
    <x v="135"/>
    <x v="223"/>
    <x v="13"/>
    <x v="3"/>
    <x v="0"/>
    <x v="3"/>
    <s v="Stationery"/>
    <x v="15"/>
    <x v="95"/>
    <n v="2"/>
    <n v="0"/>
    <x v="552"/>
    <x v="3"/>
    <x v="0"/>
    <x v="0"/>
  </r>
  <r>
    <x v="554"/>
    <x v="375"/>
    <x v="124"/>
    <x v="14"/>
    <x v="10"/>
    <x v="0"/>
    <x v="3"/>
    <s v="Stationery"/>
    <x v="5"/>
    <x v="155"/>
    <n v="3"/>
    <n v="0.1"/>
    <x v="553"/>
    <x v="3"/>
    <x v="8"/>
    <x v="1"/>
  </r>
  <r>
    <x v="555"/>
    <x v="232"/>
    <x v="23"/>
    <x v="3"/>
    <x v="3"/>
    <x v="0"/>
    <x v="1"/>
    <s v="Accessories"/>
    <x v="16"/>
    <x v="44"/>
    <n v="2"/>
    <n v="0"/>
    <x v="554"/>
    <x v="2"/>
    <x v="0"/>
    <x v="1"/>
  </r>
  <r>
    <x v="556"/>
    <x v="376"/>
    <x v="251"/>
    <x v="6"/>
    <x v="1"/>
    <x v="1"/>
    <x v="1"/>
    <s v="Accessories"/>
    <x v="2"/>
    <x v="115"/>
    <n v="1"/>
    <n v="0.2"/>
    <x v="555"/>
    <x v="2"/>
    <x v="1"/>
    <x v="2"/>
  </r>
  <r>
    <x v="557"/>
    <x v="377"/>
    <x v="41"/>
    <x v="2"/>
    <x v="2"/>
    <x v="2"/>
    <x v="3"/>
    <s v="Organizers"/>
    <x v="20"/>
    <x v="266"/>
    <n v="1"/>
    <n v="0"/>
    <x v="556"/>
    <x v="3"/>
    <x v="6"/>
    <x v="1"/>
  </r>
  <r>
    <x v="558"/>
    <x v="222"/>
    <x v="185"/>
    <x v="1"/>
    <x v="1"/>
    <x v="1"/>
    <x v="0"/>
    <s v="Kitchen"/>
    <x v="18"/>
    <x v="41"/>
    <n v="2"/>
    <n v="0.1"/>
    <x v="557"/>
    <x v="0"/>
    <x v="9"/>
    <x v="1"/>
  </r>
  <r>
    <x v="559"/>
    <x v="106"/>
    <x v="252"/>
    <x v="6"/>
    <x v="1"/>
    <x v="1"/>
    <x v="1"/>
    <s v="Accessories"/>
    <x v="2"/>
    <x v="36"/>
    <n v="5"/>
    <n v="0.15"/>
    <x v="558"/>
    <x v="0"/>
    <x v="2"/>
    <x v="0"/>
  </r>
  <r>
    <x v="560"/>
    <x v="234"/>
    <x v="248"/>
    <x v="2"/>
    <x v="2"/>
    <x v="2"/>
    <x v="0"/>
    <s v="Kitchen"/>
    <x v="8"/>
    <x v="210"/>
    <n v="6"/>
    <n v="0"/>
    <x v="559"/>
    <x v="1"/>
    <x v="3"/>
    <x v="2"/>
  </r>
  <r>
    <x v="561"/>
    <x v="378"/>
    <x v="180"/>
    <x v="8"/>
    <x v="6"/>
    <x v="4"/>
    <x v="3"/>
    <s v="Organizers"/>
    <x v="20"/>
    <x v="146"/>
    <n v="6"/>
    <n v="0.05"/>
    <x v="560"/>
    <x v="0"/>
    <x v="8"/>
    <x v="2"/>
  </r>
  <r>
    <x v="562"/>
    <x v="242"/>
    <x v="223"/>
    <x v="7"/>
    <x v="5"/>
    <x v="1"/>
    <x v="0"/>
    <s v="Cooling"/>
    <x v="13"/>
    <x v="158"/>
    <n v="5"/>
    <n v="0.1"/>
    <x v="561"/>
    <x v="1"/>
    <x v="2"/>
    <x v="2"/>
  </r>
  <r>
    <x v="563"/>
    <x v="177"/>
    <x v="87"/>
    <x v="7"/>
    <x v="5"/>
    <x v="1"/>
    <x v="2"/>
    <s v="Women"/>
    <x v="4"/>
    <x v="165"/>
    <n v="2"/>
    <n v="0"/>
    <x v="562"/>
    <x v="4"/>
    <x v="1"/>
    <x v="1"/>
  </r>
  <r>
    <x v="564"/>
    <x v="379"/>
    <x v="178"/>
    <x v="3"/>
    <x v="3"/>
    <x v="0"/>
    <x v="0"/>
    <s v="Cooling"/>
    <x v="13"/>
    <x v="35"/>
    <n v="6"/>
    <n v="0.1"/>
    <x v="563"/>
    <x v="3"/>
    <x v="5"/>
    <x v="2"/>
  </r>
  <r>
    <x v="565"/>
    <x v="380"/>
    <x v="180"/>
    <x v="13"/>
    <x v="3"/>
    <x v="0"/>
    <x v="2"/>
    <s v="Men"/>
    <x v="21"/>
    <x v="37"/>
    <n v="3"/>
    <n v="0.1"/>
    <x v="564"/>
    <x v="0"/>
    <x v="5"/>
    <x v="0"/>
  </r>
  <r>
    <x v="566"/>
    <x v="339"/>
    <x v="48"/>
    <x v="9"/>
    <x v="7"/>
    <x v="2"/>
    <x v="0"/>
    <s v="Cooling"/>
    <x v="13"/>
    <x v="78"/>
    <n v="4"/>
    <n v="0.15"/>
    <x v="565"/>
    <x v="1"/>
    <x v="4"/>
    <x v="0"/>
  </r>
  <r>
    <x v="567"/>
    <x v="356"/>
    <x v="6"/>
    <x v="11"/>
    <x v="3"/>
    <x v="0"/>
    <x v="0"/>
    <s v="Cleaning"/>
    <x v="0"/>
    <x v="235"/>
    <n v="4"/>
    <n v="0.05"/>
    <x v="566"/>
    <x v="4"/>
    <x v="4"/>
    <x v="0"/>
  </r>
  <r>
    <x v="568"/>
    <x v="381"/>
    <x v="230"/>
    <x v="0"/>
    <x v="0"/>
    <x v="0"/>
    <x v="1"/>
    <s v="Mobiles"/>
    <x v="6"/>
    <x v="267"/>
    <n v="4"/>
    <n v="0.05"/>
    <x v="567"/>
    <x v="2"/>
    <x v="0"/>
    <x v="1"/>
  </r>
  <r>
    <x v="569"/>
    <x v="117"/>
    <x v="59"/>
    <x v="6"/>
    <x v="1"/>
    <x v="1"/>
    <x v="2"/>
    <s v="Women"/>
    <x v="3"/>
    <x v="245"/>
    <n v="5"/>
    <n v="0.05"/>
    <x v="568"/>
    <x v="1"/>
    <x v="1"/>
    <x v="0"/>
  </r>
  <r>
    <x v="570"/>
    <x v="382"/>
    <x v="253"/>
    <x v="11"/>
    <x v="3"/>
    <x v="0"/>
    <x v="1"/>
    <s v="Mobiles"/>
    <x v="6"/>
    <x v="211"/>
    <n v="6"/>
    <n v="0.1"/>
    <x v="569"/>
    <x v="2"/>
    <x v="0"/>
    <x v="2"/>
  </r>
  <r>
    <x v="571"/>
    <x v="383"/>
    <x v="151"/>
    <x v="3"/>
    <x v="3"/>
    <x v="0"/>
    <x v="4"/>
    <s v="Chairs"/>
    <x v="9"/>
    <x v="268"/>
    <n v="2"/>
    <n v="0.1"/>
    <x v="570"/>
    <x v="0"/>
    <x v="7"/>
    <x v="1"/>
  </r>
  <r>
    <x v="572"/>
    <x v="384"/>
    <x v="201"/>
    <x v="6"/>
    <x v="1"/>
    <x v="1"/>
    <x v="4"/>
    <s v="Chairs"/>
    <x v="10"/>
    <x v="58"/>
    <n v="3"/>
    <n v="0.15"/>
    <x v="571"/>
    <x v="3"/>
    <x v="5"/>
    <x v="0"/>
  </r>
  <r>
    <x v="573"/>
    <x v="385"/>
    <x v="84"/>
    <x v="9"/>
    <x v="7"/>
    <x v="2"/>
    <x v="0"/>
    <s v="Cleaning"/>
    <x v="0"/>
    <x v="0"/>
    <n v="3"/>
    <n v="0.15"/>
    <x v="572"/>
    <x v="2"/>
    <x v="9"/>
    <x v="1"/>
  </r>
  <r>
    <x v="574"/>
    <x v="32"/>
    <x v="180"/>
    <x v="0"/>
    <x v="0"/>
    <x v="0"/>
    <x v="1"/>
    <s v="Accessories"/>
    <x v="16"/>
    <x v="57"/>
    <n v="1"/>
    <n v="0"/>
    <x v="573"/>
    <x v="1"/>
    <x v="5"/>
    <x v="2"/>
  </r>
  <r>
    <x v="575"/>
    <x v="386"/>
    <x v="210"/>
    <x v="13"/>
    <x v="3"/>
    <x v="0"/>
    <x v="1"/>
    <s v="Laptops"/>
    <x v="19"/>
    <x v="269"/>
    <n v="6"/>
    <n v="0.15"/>
    <x v="574"/>
    <x v="4"/>
    <x v="0"/>
    <x v="1"/>
  </r>
  <r>
    <x v="576"/>
    <x v="387"/>
    <x v="204"/>
    <x v="3"/>
    <x v="3"/>
    <x v="0"/>
    <x v="1"/>
    <s v="Mobiles"/>
    <x v="1"/>
    <x v="80"/>
    <n v="3"/>
    <n v="0.1"/>
    <x v="575"/>
    <x v="4"/>
    <x v="4"/>
    <x v="1"/>
  </r>
  <r>
    <x v="577"/>
    <x v="27"/>
    <x v="104"/>
    <x v="14"/>
    <x v="10"/>
    <x v="0"/>
    <x v="1"/>
    <s v="Laptops"/>
    <x v="19"/>
    <x v="270"/>
    <n v="1"/>
    <n v="0.05"/>
    <x v="576"/>
    <x v="2"/>
    <x v="4"/>
    <x v="2"/>
  </r>
  <r>
    <x v="578"/>
    <x v="388"/>
    <x v="254"/>
    <x v="1"/>
    <x v="1"/>
    <x v="1"/>
    <x v="2"/>
    <s v="Men"/>
    <x v="21"/>
    <x v="271"/>
    <n v="1"/>
    <n v="0"/>
    <x v="577"/>
    <x v="3"/>
    <x v="1"/>
    <x v="2"/>
  </r>
  <r>
    <x v="579"/>
    <x v="215"/>
    <x v="156"/>
    <x v="10"/>
    <x v="8"/>
    <x v="3"/>
    <x v="1"/>
    <s v="Laptops"/>
    <x v="17"/>
    <x v="272"/>
    <n v="2"/>
    <n v="0.2"/>
    <x v="578"/>
    <x v="3"/>
    <x v="9"/>
    <x v="0"/>
  </r>
  <r>
    <x v="580"/>
    <x v="389"/>
    <x v="211"/>
    <x v="15"/>
    <x v="11"/>
    <x v="2"/>
    <x v="1"/>
    <s v="Accessories"/>
    <x v="2"/>
    <x v="6"/>
    <n v="1"/>
    <n v="0.1"/>
    <x v="579"/>
    <x v="0"/>
    <x v="1"/>
    <x v="1"/>
  </r>
  <r>
    <x v="581"/>
    <x v="390"/>
    <x v="39"/>
    <x v="5"/>
    <x v="4"/>
    <x v="3"/>
    <x v="3"/>
    <s v="Organizers"/>
    <x v="20"/>
    <x v="135"/>
    <n v="3"/>
    <n v="0.05"/>
    <x v="580"/>
    <x v="3"/>
    <x v="1"/>
    <x v="2"/>
  </r>
  <r>
    <x v="582"/>
    <x v="391"/>
    <x v="220"/>
    <x v="2"/>
    <x v="2"/>
    <x v="2"/>
    <x v="2"/>
    <s v="Women"/>
    <x v="4"/>
    <x v="2"/>
    <n v="3"/>
    <n v="0.05"/>
    <x v="581"/>
    <x v="4"/>
    <x v="1"/>
    <x v="1"/>
  </r>
  <r>
    <x v="583"/>
    <x v="83"/>
    <x v="76"/>
    <x v="6"/>
    <x v="1"/>
    <x v="1"/>
    <x v="3"/>
    <s v="Organizers"/>
    <x v="20"/>
    <x v="120"/>
    <n v="6"/>
    <n v="0.1"/>
    <x v="582"/>
    <x v="1"/>
    <x v="2"/>
    <x v="0"/>
  </r>
  <r>
    <x v="584"/>
    <x v="366"/>
    <x v="166"/>
    <x v="13"/>
    <x v="3"/>
    <x v="0"/>
    <x v="0"/>
    <s v="Cleaning"/>
    <x v="0"/>
    <x v="273"/>
    <n v="5"/>
    <n v="0.05"/>
    <x v="583"/>
    <x v="4"/>
    <x v="9"/>
    <x v="2"/>
  </r>
  <r>
    <x v="585"/>
    <x v="392"/>
    <x v="5"/>
    <x v="11"/>
    <x v="3"/>
    <x v="0"/>
    <x v="4"/>
    <s v="Storage"/>
    <x v="14"/>
    <x v="274"/>
    <n v="1"/>
    <n v="0.05"/>
    <x v="584"/>
    <x v="4"/>
    <x v="6"/>
    <x v="2"/>
  </r>
  <r>
    <x v="586"/>
    <x v="393"/>
    <x v="245"/>
    <x v="11"/>
    <x v="3"/>
    <x v="0"/>
    <x v="4"/>
    <s v="Tables"/>
    <x v="7"/>
    <x v="275"/>
    <n v="5"/>
    <n v="0"/>
    <x v="585"/>
    <x v="4"/>
    <x v="9"/>
    <x v="2"/>
  </r>
  <r>
    <x v="587"/>
    <x v="4"/>
    <x v="232"/>
    <x v="9"/>
    <x v="7"/>
    <x v="2"/>
    <x v="4"/>
    <s v="Chairs"/>
    <x v="9"/>
    <x v="276"/>
    <n v="6"/>
    <n v="0.05"/>
    <x v="586"/>
    <x v="1"/>
    <x v="3"/>
    <x v="1"/>
  </r>
  <r>
    <x v="588"/>
    <x v="394"/>
    <x v="58"/>
    <x v="11"/>
    <x v="3"/>
    <x v="0"/>
    <x v="3"/>
    <s v="Stationery"/>
    <x v="5"/>
    <x v="172"/>
    <n v="2"/>
    <n v="0.15"/>
    <x v="587"/>
    <x v="3"/>
    <x v="9"/>
    <x v="0"/>
  </r>
  <r>
    <x v="589"/>
    <x v="395"/>
    <x v="255"/>
    <x v="12"/>
    <x v="9"/>
    <x v="0"/>
    <x v="1"/>
    <s v="Accessories"/>
    <x v="16"/>
    <x v="114"/>
    <n v="5"/>
    <n v="0.05"/>
    <x v="588"/>
    <x v="1"/>
    <x v="4"/>
    <x v="0"/>
  </r>
  <r>
    <x v="590"/>
    <x v="396"/>
    <x v="256"/>
    <x v="9"/>
    <x v="7"/>
    <x v="2"/>
    <x v="4"/>
    <s v="Tables"/>
    <x v="7"/>
    <x v="226"/>
    <n v="3"/>
    <n v="0"/>
    <x v="589"/>
    <x v="3"/>
    <x v="4"/>
    <x v="0"/>
  </r>
  <r>
    <x v="591"/>
    <x v="397"/>
    <x v="50"/>
    <x v="15"/>
    <x v="11"/>
    <x v="2"/>
    <x v="1"/>
    <s v="Accessories"/>
    <x v="16"/>
    <x v="242"/>
    <n v="3"/>
    <n v="0.05"/>
    <x v="590"/>
    <x v="0"/>
    <x v="2"/>
    <x v="1"/>
  </r>
  <r>
    <x v="592"/>
    <x v="398"/>
    <x v="3"/>
    <x v="6"/>
    <x v="1"/>
    <x v="1"/>
    <x v="1"/>
    <s v="Mobiles"/>
    <x v="6"/>
    <x v="211"/>
    <n v="6"/>
    <n v="0.1"/>
    <x v="591"/>
    <x v="4"/>
    <x v="2"/>
    <x v="0"/>
  </r>
  <r>
    <x v="593"/>
    <x v="399"/>
    <x v="83"/>
    <x v="8"/>
    <x v="6"/>
    <x v="4"/>
    <x v="2"/>
    <s v="Women"/>
    <x v="3"/>
    <x v="277"/>
    <n v="3"/>
    <n v="0.05"/>
    <x v="592"/>
    <x v="1"/>
    <x v="5"/>
    <x v="2"/>
  </r>
  <r>
    <x v="594"/>
    <x v="242"/>
    <x v="257"/>
    <x v="4"/>
    <x v="3"/>
    <x v="0"/>
    <x v="3"/>
    <s v="Stationery"/>
    <x v="15"/>
    <x v="31"/>
    <n v="1"/>
    <n v="0.1"/>
    <x v="593"/>
    <x v="2"/>
    <x v="0"/>
    <x v="2"/>
  </r>
  <r>
    <x v="595"/>
    <x v="182"/>
    <x v="196"/>
    <x v="11"/>
    <x v="3"/>
    <x v="0"/>
    <x v="2"/>
    <s v="Women"/>
    <x v="3"/>
    <x v="278"/>
    <n v="2"/>
    <n v="0.15"/>
    <x v="594"/>
    <x v="0"/>
    <x v="2"/>
    <x v="2"/>
  </r>
  <r>
    <x v="596"/>
    <x v="190"/>
    <x v="37"/>
    <x v="7"/>
    <x v="5"/>
    <x v="1"/>
    <x v="1"/>
    <s v="Mobiles"/>
    <x v="6"/>
    <x v="96"/>
    <n v="1"/>
    <n v="0.05"/>
    <x v="595"/>
    <x v="2"/>
    <x v="9"/>
    <x v="2"/>
  </r>
  <r>
    <x v="597"/>
    <x v="298"/>
    <x v="136"/>
    <x v="3"/>
    <x v="3"/>
    <x v="0"/>
    <x v="0"/>
    <s v="Cleaning"/>
    <x v="0"/>
    <x v="137"/>
    <n v="3"/>
    <n v="0"/>
    <x v="596"/>
    <x v="0"/>
    <x v="0"/>
    <x v="0"/>
  </r>
  <r>
    <x v="598"/>
    <x v="400"/>
    <x v="178"/>
    <x v="10"/>
    <x v="8"/>
    <x v="3"/>
    <x v="1"/>
    <s v="Laptops"/>
    <x v="17"/>
    <x v="279"/>
    <n v="1"/>
    <n v="0.1"/>
    <x v="597"/>
    <x v="3"/>
    <x v="6"/>
    <x v="2"/>
  </r>
  <r>
    <x v="599"/>
    <x v="401"/>
    <x v="90"/>
    <x v="4"/>
    <x v="3"/>
    <x v="0"/>
    <x v="3"/>
    <s v="Stationery"/>
    <x v="5"/>
    <x v="131"/>
    <n v="1"/>
    <n v="0.2"/>
    <x v="598"/>
    <x v="3"/>
    <x v="6"/>
    <x v="0"/>
  </r>
  <r>
    <x v="600"/>
    <x v="402"/>
    <x v="258"/>
    <x v="6"/>
    <x v="1"/>
    <x v="1"/>
    <x v="3"/>
    <s v="Stationery"/>
    <x v="15"/>
    <x v="280"/>
    <n v="1"/>
    <n v="0"/>
    <x v="599"/>
    <x v="0"/>
    <x v="1"/>
    <x v="0"/>
  </r>
  <r>
    <x v="601"/>
    <x v="403"/>
    <x v="190"/>
    <x v="15"/>
    <x v="11"/>
    <x v="2"/>
    <x v="1"/>
    <s v="Accessories"/>
    <x v="2"/>
    <x v="112"/>
    <n v="4"/>
    <n v="0"/>
    <x v="600"/>
    <x v="2"/>
    <x v="5"/>
    <x v="0"/>
  </r>
  <r>
    <x v="602"/>
    <x v="345"/>
    <x v="171"/>
    <x v="6"/>
    <x v="1"/>
    <x v="1"/>
    <x v="1"/>
    <s v="Laptops"/>
    <x v="19"/>
    <x v="281"/>
    <n v="2"/>
    <n v="0.15"/>
    <x v="601"/>
    <x v="3"/>
    <x v="1"/>
    <x v="1"/>
  </r>
  <r>
    <x v="603"/>
    <x v="404"/>
    <x v="160"/>
    <x v="10"/>
    <x v="8"/>
    <x v="3"/>
    <x v="0"/>
    <s v="Kitchen"/>
    <x v="18"/>
    <x v="44"/>
    <n v="1"/>
    <n v="0"/>
    <x v="602"/>
    <x v="2"/>
    <x v="8"/>
    <x v="2"/>
  </r>
  <r>
    <x v="604"/>
    <x v="405"/>
    <x v="256"/>
    <x v="0"/>
    <x v="0"/>
    <x v="0"/>
    <x v="4"/>
    <s v="Tables"/>
    <x v="7"/>
    <x v="282"/>
    <n v="6"/>
    <n v="0.15"/>
    <x v="603"/>
    <x v="3"/>
    <x v="7"/>
    <x v="0"/>
  </r>
  <r>
    <x v="605"/>
    <x v="406"/>
    <x v="198"/>
    <x v="12"/>
    <x v="9"/>
    <x v="0"/>
    <x v="3"/>
    <s v="Organizers"/>
    <x v="20"/>
    <x v="266"/>
    <n v="1"/>
    <n v="0"/>
    <x v="604"/>
    <x v="3"/>
    <x v="1"/>
    <x v="1"/>
  </r>
  <r>
    <x v="606"/>
    <x v="407"/>
    <x v="202"/>
    <x v="5"/>
    <x v="4"/>
    <x v="3"/>
    <x v="4"/>
    <s v="Chairs"/>
    <x v="9"/>
    <x v="206"/>
    <n v="2"/>
    <n v="0.05"/>
    <x v="605"/>
    <x v="4"/>
    <x v="2"/>
    <x v="2"/>
  </r>
  <r>
    <x v="607"/>
    <x v="103"/>
    <x v="155"/>
    <x v="10"/>
    <x v="8"/>
    <x v="3"/>
    <x v="1"/>
    <s v="Mobiles"/>
    <x v="1"/>
    <x v="1"/>
    <n v="6"/>
    <n v="0.05"/>
    <x v="606"/>
    <x v="0"/>
    <x v="1"/>
    <x v="2"/>
  </r>
  <r>
    <x v="608"/>
    <x v="302"/>
    <x v="154"/>
    <x v="2"/>
    <x v="2"/>
    <x v="2"/>
    <x v="0"/>
    <s v="Cleaning"/>
    <x v="0"/>
    <x v="63"/>
    <n v="6"/>
    <n v="0.15"/>
    <x v="607"/>
    <x v="2"/>
    <x v="1"/>
    <x v="2"/>
  </r>
  <r>
    <x v="609"/>
    <x v="64"/>
    <x v="213"/>
    <x v="14"/>
    <x v="10"/>
    <x v="0"/>
    <x v="2"/>
    <s v="Men"/>
    <x v="21"/>
    <x v="111"/>
    <n v="3"/>
    <n v="0.15"/>
    <x v="608"/>
    <x v="2"/>
    <x v="7"/>
    <x v="1"/>
  </r>
  <r>
    <x v="610"/>
    <x v="398"/>
    <x v="67"/>
    <x v="1"/>
    <x v="1"/>
    <x v="1"/>
    <x v="1"/>
    <s v="Accessories"/>
    <x v="16"/>
    <x v="165"/>
    <n v="4"/>
    <n v="0"/>
    <x v="609"/>
    <x v="3"/>
    <x v="6"/>
    <x v="2"/>
  </r>
  <r>
    <x v="611"/>
    <x v="206"/>
    <x v="137"/>
    <x v="14"/>
    <x v="10"/>
    <x v="0"/>
    <x v="2"/>
    <s v="Men"/>
    <x v="11"/>
    <x v="110"/>
    <n v="2"/>
    <n v="0.05"/>
    <x v="610"/>
    <x v="3"/>
    <x v="1"/>
    <x v="0"/>
  </r>
  <r>
    <x v="612"/>
    <x v="272"/>
    <x v="196"/>
    <x v="7"/>
    <x v="5"/>
    <x v="1"/>
    <x v="3"/>
    <s v="Stationery"/>
    <x v="15"/>
    <x v="40"/>
    <n v="3"/>
    <n v="0.1"/>
    <x v="611"/>
    <x v="4"/>
    <x v="8"/>
    <x v="2"/>
  </r>
  <r>
    <x v="613"/>
    <x v="323"/>
    <x v="6"/>
    <x v="4"/>
    <x v="3"/>
    <x v="0"/>
    <x v="1"/>
    <s v="Mobiles"/>
    <x v="1"/>
    <x v="283"/>
    <n v="4"/>
    <n v="0"/>
    <x v="612"/>
    <x v="0"/>
    <x v="1"/>
    <x v="0"/>
  </r>
  <r>
    <x v="614"/>
    <x v="215"/>
    <x v="14"/>
    <x v="14"/>
    <x v="10"/>
    <x v="0"/>
    <x v="1"/>
    <s v="Accessories"/>
    <x v="2"/>
    <x v="253"/>
    <n v="5"/>
    <n v="0"/>
    <x v="613"/>
    <x v="2"/>
    <x v="3"/>
    <x v="2"/>
  </r>
  <r>
    <x v="615"/>
    <x v="408"/>
    <x v="215"/>
    <x v="15"/>
    <x v="11"/>
    <x v="2"/>
    <x v="2"/>
    <s v="Men"/>
    <x v="21"/>
    <x v="284"/>
    <n v="5"/>
    <n v="0"/>
    <x v="614"/>
    <x v="4"/>
    <x v="7"/>
    <x v="1"/>
  </r>
  <r>
    <x v="616"/>
    <x v="409"/>
    <x v="10"/>
    <x v="2"/>
    <x v="2"/>
    <x v="2"/>
    <x v="3"/>
    <s v="Organizers"/>
    <x v="20"/>
    <x v="187"/>
    <n v="4"/>
    <n v="0"/>
    <x v="615"/>
    <x v="2"/>
    <x v="5"/>
    <x v="1"/>
  </r>
  <r>
    <x v="617"/>
    <x v="201"/>
    <x v="111"/>
    <x v="1"/>
    <x v="1"/>
    <x v="1"/>
    <x v="4"/>
    <s v="Tables"/>
    <x v="7"/>
    <x v="226"/>
    <n v="3"/>
    <n v="0"/>
    <x v="616"/>
    <x v="3"/>
    <x v="7"/>
    <x v="1"/>
  </r>
  <r>
    <x v="618"/>
    <x v="410"/>
    <x v="225"/>
    <x v="12"/>
    <x v="9"/>
    <x v="0"/>
    <x v="1"/>
    <s v="Mobiles"/>
    <x v="1"/>
    <x v="227"/>
    <n v="4"/>
    <n v="0.05"/>
    <x v="617"/>
    <x v="4"/>
    <x v="8"/>
    <x v="2"/>
  </r>
  <r>
    <x v="619"/>
    <x v="248"/>
    <x v="86"/>
    <x v="9"/>
    <x v="7"/>
    <x v="2"/>
    <x v="1"/>
    <s v="Laptops"/>
    <x v="17"/>
    <x v="285"/>
    <n v="6"/>
    <n v="0.05"/>
    <x v="618"/>
    <x v="3"/>
    <x v="0"/>
    <x v="2"/>
  </r>
  <r>
    <x v="620"/>
    <x v="27"/>
    <x v="10"/>
    <x v="11"/>
    <x v="3"/>
    <x v="0"/>
    <x v="0"/>
    <s v="Kitchen"/>
    <x v="18"/>
    <x v="165"/>
    <n v="2"/>
    <n v="0"/>
    <x v="619"/>
    <x v="2"/>
    <x v="6"/>
    <x v="1"/>
  </r>
  <r>
    <x v="621"/>
    <x v="309"/>
    <x v="93"/>
    <x v="1"/>
    <x v="1"/>
    <x v="1"/>
    <x v="2"/>
    <s v="Women"/>
    <x v="4"/>
    <x v="72"/>
    <n v="4"/>
    <n v="0.05"/>
    <x v="620"/>
    <x v="2"/>
    <x v="8"/>
    <x v="0"/>
  </r>
  <r>
    <x v="622"/>
    <x v="324"/>
    <x v="182"/>
    <x v="12"/>
    <x v="9"/>
    <x v="0"/>
    <x v="2"/>
    <s v="Men"/>
    <x v="11"/>
    <x v="200"/>
    <n v="5"/>
    <n v="0.05"/>
    <x v="621"/>
    <x v="4"/>
    <x v="2"/>
    <x v="2"/>
  </r>
  <r>
    <x v="623"/>
    <x v="411"/>
    <x v="31"/>
    <x v="9"/>
    <x v="7"/>
    <x v="2"/>
    <x v="1"/>
    <s v="Accessories"/>
    <x v="2"/>
    <x v="5"/>
    <n v="4"/>
    <n v="0.1"/>
    <x v="622"/>
    <x v="2"/>
    <x v="8"/>
    <x v="0"/>
  </r>
  <r>
    <x v="624"/>
    <x v="412"/>
    <x v="232"/>
    <x v="14"/>
    <x v="10"/>
    <x v="0"/>
    <x v="2"/>
    <s v="Men"/>
    <x v="11"/>
    <x v="262"/>
    <n v="6"/>
    <n v="0.05"/>
    <x v="623"/>
    <x v="4"/>
    <x v="7"/>
    <x v="1"/>
  </r>
  <r>
    <x v="625"/>
    <x v="413"/>
    <x v="212"/>
    <x v="7"/>
    <x v="5"/>
    <x v="1"/>
    <x v="4"/>
    <s v="Chairs"/>
    <x v="10"/>
    <x v="12"/>
    <n v="5"/>
    <n v="0.15"/>
    <x v="624"/>
    <x v="4"/>
    <x v="9"/>
    <x v="2"/>
  </r>
  <r>
    <x v="626"/>
    <x v="154"/>
    <x v="259"/>
    <x v="1"/>
    <x v="1"/>
    <x v="1"/>
    <x v="4"/>
    <s v="Storage"/>
    <x v="14"/>
    <x v="168"/>
    <n v="6"/>
    <n v="0"/>
    <x v="625"/>
    <x v="2"/>
    <x v="5"/>
    <x v="1"/>
  </r>
  <r>
    <x v="627"/>
    <x v="414"/>
    <x v="260"/>
    <x v="12"/>
    <x v="9"/>
    <x v="0"/>
    <x v="1"/>
    <s v="Laptops"/>
    <x v="19"/>
    <x v="286"/>
    <n v="6"/>
    <n v="0.1"/>
    <x v="626"/>
    <x v="0"/>
    <x v="7"/>
    <x v="1"/>
  </r>
  <r>
    <x v="628"/>
    <x v="415"/>
    <x v="226"/>
    <x v="15"/>
    <x v="11"/>
    <x v="2"/>
    <x v="4"/>
    <s v="Tables"/>
    <x v="7"/>
    <x v="194"/>
    <n v="6"/>
    <n v="0.1"/>
    <x v="627"/>
    <x v="3"/>
    <x v="5"/>
    <x v="1"/>
  </r>
  <r>
    <x v="629"/>
    <x v="62"/>
    <x v="205"/>
    <x v="1"/>
    <x v="1"/>
    <x v="1"/>
    <x v="3"/>
    <s v="Stationery"/>
    <x v="5"/>
    <x v="205"/>
    <n v="3"/>
    <n v="0"/>
    <x v="628"/>
    <x v="2"/>
    <x v="7"/>
    <x v="2"/>
  </r>
  <r>
    <x v="630"/>
    <x v="416"/>
    <x v="158"/>
    <x v="15"/>
    <x v="11"/>
    <x v="2"/>
    <x v="4"/>
    <s v="Chairs"/>
    <x v="9"/>
    <x v="189"/>
    <n v="5"/>
    <n v="0.1"/>
    <x v="629"/>
    <x v="2"/>
    <x v="2"/>
    <x v="0"/>
  </r>
  <r>
    <x v="631"/>
    <x v="417"/>
    <x v="40"/>
    <x v="2"/>
    <x v="2"/>
    <x v="2"/>
    <x v="4"/>
    <s v="Chairs"/>
    <x v="9"/>
    <x v="287"/>
    <n v="1"/>
    <n v="0.05"/>
    <x v="630"/>
    <x v="3"/>
    <x v="7"/>
    <x v="0"/>
  </r>
  <r>
    <x v="632"/>
    <x v="149"/>
    <x v="194"/>
    <x v="6"/>
    <x v="1"/>
    <x v="1"/>
    <x v="1"/>
    <s v="Laptops"/>
    <x v="19"/>
    <x v="286"/>
    <n v="6"/>
    <n v="0.1"/>
    <x v="631"/>
    <x v="2"/>
    <x v="0"/>
    <x v="0"/>
  </r>
  <r>
    <x v="633"/>
    <x v="364"/>
    <x v="47"/>
    <x v="1"/>
    <x v="1"/>
    <x v="1"/>
    <x v="4"/>
    <s v="Chairs"/>
    <x v="10"/>
    <x v="13"/>
    <n v="1"/>
    <n v="0.05"/>
    <x v="632"/>
    <x v="4"/>
    <x v="3"/>
    <x v="2"/>
  </r>
  <r>
    <x v="634"/>
    <x v="418"/>
    <x v="50"/>
    <x v="15"/>
    <x v="11"/>
    <x v="2"/>
    <x v="2"/>
    <s v="Men"/>
    <x v="21"/>
    <x v="288"/>
    <n v="4"/>
    <n v="0.15"/>
    <x v="633"/>
    <x v="2"/>
    <x v="3"/>
    <x v="0"/>
  </r>
  <r>
    <x v="635"/>
    <x v="419"/>
    <x v="174"/>
    <x v="11"/>
    <x v="3"/>
    <x v="0"/>
    <x v="0"/>
    <s v="Cooling"/>
    <x v="13"/>
    <x v="25"/>
    <n v="5"/>
    <n v="0.05"/>
    <x v="634"/>
    <x v="0"/>
    <x v="6"/>
    <x v="1"/>
  </r>
  <r>
    <x v="636"/>
    <x v="420"/>
    <x v="58"/>
    <x v="7"/>
    <x v="5"/>
    <x v="1"/>
    <x v="1"/>
    <s v="Accessories"/>
    <x v="16"/>
    <x v="41"/>
    <n v="4"/>
    <n v="0.1"/>
    <x v="635"/>
    <x v="0"/>
    <x v="9"/>
    <x v="2"/>
  </r>
  <r>
    <x v="637"/>
    <x v="127"/>
    <x v="261"/>
    <x v="0"/>
    <x v="0"/>
    <x v="0"/>
    <x v="3"/>
    <s v="Stationery"/>
    <x v="15"/>
    <x v="31"/>
    <n v="1"/>
    <n v="0.1"/>
    <x v="636"/>
    <x v="3"/>
    <x v="3"/>
    <x v="0"/>
  </r>
  <r>
    <x v="638"/>
    <x v="421"/>
    <x v="237"/>
    <x v="5"/>
    <x v="4"/>
    <x v="3"/>
    <x v="2"/>
    <s v="Men"/>
    <x v="21"/>
    <x v="111"/>
    <n v="3"/>
    <n v="0.15"/>
    <x v="637"/>
    <x v="0"/>
    <x v="2"/>
    <x v="1"/>
  </r>
  <r>
    <x v="639"/>
    <x v="422"/>
    <x v="12"/>
    <x v="14"/>
    <x v="10"/>
    <x v="0"/>
    <x v="4"/>
    <s v="Chairs"/>
    <x v="10"/>
    <x v="16"/>
    <n v="1"/>
    <n v="0"/>
    <x v="638"/>
    <x v="4"/>
    <x v="0"/>
    <x v="0"/>
  </r>
  <r>
    <x v="640"/>
    <x v="304"/>
    <x v="214"/>
    <x v="3"/>
    <x v="3"/>
    <x v="0"/>
    <x v="1"/>
    <s v="Accessories"/>
    <x v="2"/>
    <x v="44"/>
    <n v="1"/>
    <n v="0"/>
    <x v="639"/>
    <x v="3"/>
    <x v="1"/>
    <x v="2"/>
  </r>
  <r>
    <x v="641"/>
    <x v="423"/>
    <x v="262"/>
    <x v="5"/>
    <x v="4"/>
    <x v="3"/>
    <x v="1"/>
    <s v="Accessories"/>
    <x v="2"/>
    <x v="9"/>
    <n v="3"/>
    <n v="0.1"/>
    <x v="640"/>
    <x v="3"/>
    <x v="0"/>
    <x v="0"/>
  </r>
  <r>
    <x v="642"/>
    <x v="28"/>
    <x v="122"/>
    <x v="2"/>
    <x v="2"/>
    <x v="2"/>
    <x v="3"/>
    <s v="Stationery"/>
    <x v="15"/>
    <x v="289"/>
    <n v="2"/>
    <n v="0.2"/>
    <x v="641"/>
    <x v="4"/>
    <x v="9"/>
    <x v="1"/>
  </r>
  <r>
    <x v="643"/>
    <x v="36"/>
    <x v="176"/>
    <x v="11"/>
    <x v="3"/>
    <x v="0"/>
    <x v="1"/>
    <s v="Accessories"/>
    <x v="2"/>
    <x v="81"/>
    <n v="6"/>
    <n v="0.1"/>
    <x v="642"/>
    <x v="2"/>
    <x v="5"/>
    <x v="0"/>
  </r>
  <r>
    <x v="644"/>
    <x v="424"/>
    <x v="263"/>
    <x v="9"/>
    <x v="7"/>
    <x v="2"/>
    <x v="3"/>
    <s v="Organizers"/>
    <x v="20"/>
    <x v="55"/>
    <n v="2"/>
    <n v="0.15"/>
    <x v="643"/>
    <x v="4"/>
    <x v="7"/>
    <x v="1"/>
  </r>
  <r>
    <x v="645"/>
    <x v="127"/>
    <x v="264"/>
    <x v="7"/>
    <x v="5"/>
    <x v="1"/>
    <x v="3"/>
    <s v="Paper"/>
    <x v="12"/>
    <x v="111"/>
    <n v="2"/>
    <n v="0.15"/>
    <x v="644"/>
    <x v="3"/>
    <x v="4"/>
    <x v="2"/>
  </r>
  <r>
    <x v="646"/>
    <x v="425"/>
    <x v="138"/>
    <x v="4"/>
    <x v="3"/>
    <x v="0"/>
    <x v="4"/>
    <s v="Storage"/>
    <x v="14"/>
    <x v="168"/>
    <n v="6"/>
    <n v="0"/>
    <x v="645"/>
    <x v="1"/>
    <x v="1"/>
    <x v="0"/>
  </r>
  <r>
    <x v="647"/>
    <x v="25"/>
    <x v="64"/>
    <x v="2"/>
    <x v="2"/>
    <x v="2"/>
    <x v="1"/>
    <s v="Laptops"/>
    <x v="19"/>
    <x v="52"/>
    <n v="4"/>
    <n v="0.05"/>
    <x v="646"/>
    <x v="0"/>
    <x v="9"/>
    <x v="2"/>
  </r>
  <r>
    <x v="648"/>
    <x v="373"/>
    <x v="174"/>
    <x v="0"/>
    <x v="0"/>
    <x v="0"/>
    <x v="3"/>
    <s v="Paper"/>
    <x v="12"/>
    <x v="151"/>
    <n v="1"/>
    <n v="0"/>
    <x v="647"/>
    <x v="3"/>
    <x v="1"/>
    <x v="2"/>
  </r>
  <r>
    <x v="649"/>
    <x v="281"/>
    <x v="128"/>
    <x v="0"/>
    <x v="0"/>
    <x v="0"/>
    <x v="1"/>
    <s v="Laptops"/>
    <x v="19"/>
    <x v="290"/>
    <n v="4"/>
    <n v="0"/>
    <x v="648"/>
    <x v="4"/>
    <x v="9"/>
    <x v="0"/>
  </r>
  <r>
    <x v="650"/>
    <x v="333"/>
    <x v="207"/>
    <x v="15"/>
    <x v="11"/>
    <x v="2"/>
    <x v="1"/>
    <s v="Mobiles"/>
    <x v="1"/>
    <x v="80"/>
    <n v="3"/>
    <n v="0.1"/>
    <x v="649"/>
    <x v="3"/>
    <x v="9"/>
    <x v="1"/>
  </r>
  <r>
    <x v="651"/>
    <x v="292"/>
    <x v="80"/>
    <x v="12"/>
    <x v="9"/>
    <x v="0"/>
    <x v="0"/>
    <s v="Kitchen"/>
    <x v="18"/>
    <x v="67"/>
    <n v="1"/>
    <n v="0.15"/>
    <x v="650"/>
    <x v="3"/>
    <x v="9"/>
    <x v="1"/>
  </r>
  <r>
    <x v="652"/>
    <x v="426"/>
    <x v="205"/>
    <x v="4"/>
    <x v="3"/>
    <x v="0"/>
    <x v="3"/>
    <s v="Stationery"/>
    <x v="15"/>
    <x v="31"/>
    <n v="1"/>
    <n v="0.1"/>
    <x v="651"/>
    <x v="1"/>
    <x v="8"/>
    <x v="1"/>
  </r>
  <r>
    <x v="653"/>
    <x v="427"/>
    <x v="252"/>
    <x v="3"/>
    <x v="3"/>
    <x v="0"/>
    <x v="0"/>
    <s v="Cleaning"/>
    <x v="0"/>
    <x v="190"/>
    <n v="1"/>
    <n v="0.05"/>
    <x v="652"/>
    <x v="3"/>
    <x v="5"/>
    <x v="0"/>
  </r>
  <r>
    <x v="654"/>
    <x v="428"/>
    <x v="14"/>
    <x v="2"/>
    <x v="2"/>
    <x v="2"/>
    <x v="0"/>
    <s v="Kitchen"/>
    <x v="8"/>
    <x v="198"/>
    <n v="2"/>
    <n v="0.05"/>
    <x v="653"/>
    <x v="2"/>
    <x v="7"/>
    <x v="2"/>
  </r>
  <r>
    <x v="655"/>
    <x v="429"/>
    <x v="235"/>
    <x v="10"/>
    <x v="8"/>
    <x v="3"/>
    <x v="3"/>
    <s v="Paper"/>
    <x v="12"/>
    <x v="33"/>
    <n v="1"/>
    <n v="0.1"/>
    <x v="654"/>
    <x v="0"/>
    <x v="3"/>
    <x v="2"/>
  </r>
  <r>
    <x v="656"/>
    <x v="430"/>
    <x v="137"/>
    <x v="5"/>
    <x v="4"/>
    <x v="3"/>
    <x v="2"/>
    <s v="Men"/>
    <x v="11"/>
    <x v="33"/>
    <n v="1"/>
    <n v="0.1"/>
    <x v="655"/>
    <x v="1"/>
    <x v="5"/>
    <x v="2"/>
  </r>
  <r>
    <x v="657"/>
    <x v="431"/>
    <x v="102"/>
    <x v="9"/>
    <x v="7"/>
    <x v="2"/>
    <x v="1"/>
    <s v="Laptops"/>
    <x v="19"/>
    <x v="43"/>
    <n v="6"/>
    <n v="0.05"/>
    <x v="656"/>
    <x v="2"/>
    <x v="5"/>
    <x v="2"/>
  </r>
  <r>
    <x v="658"/>
    <x v="390"/>
    <x v="265"/>
    <x v="6"/>
    <x v="1"/>
    <x v="1"/>
    <x v="3"/>
    <s v="Organizers"/>
    <x v="20"/>
    <x v="149"/>
    <n v="3"/>
    <n v="0.1"/>
    <x v="657"/>
    <x v="2"/>
    <x v="9"/>
    <x v="0"/>
  </r>
  <r>
    <x v="659"/>
    <x v="432"/>
    <x v="266"/>
    <x v="7"/>
    <x v="5"/>
    <x v="1"/>
    <x v="0"/>
    <s v="Kitchen"/>
    <x v="8"/>
    <x v="42"/>
    <n v="5"/>
    <n v="0"/>
    <x v="658"/>
    <x v="3"/>
    <x v="3"/>
    <x v="1"/>
  </r>
  <r>
    <x v="660"/>
    <x v="13"/>
    <x v="23"/>
    <x v="10"/>
    <x v="8"/>
    <x v="3"/>
    <x v="3"/>
    <s v="Paper"/>
    <x v="12"/>
    <x v="111"/>
    <n v="2"/>
    <n v="0.15"/>
    <x v="659"/>
    <x v="3"/>
    <x v="0"/>
    <x v="0"/>
  </r>
  <r>
    <x v="661"/>
    <x v="24"/>
    <x v="227"/>
    <x v="11"/>
    <x v="3"/>
    <x v="0"/>
    <x v="2"/>
    <s v="Men"/>
    <x v="21"/>
    <x v="61"/>
    <n v="2"/>
    <n v="0"/>
    <x v="660"/>
    <x v="2"/>
    <x v="4"/>
    <x v="1"/>
  </r>
  <r>
    <x v="662"/>
    <x v="433"/>
    <x v="140"/>
    <x v="14"/>
    <x v="10"/>
    <x v="0"/>
    <x v="0"/>
    <s v="Cleaning"/>
    <x v="0"/>
    <x v="63"/>
    <n v="6"/>
    <n v="0.15"/>
    <x v="661"/>
    <x v="1"/>
    <x v="4"/>
    <x v="1"/>
  </r>
  <r>
    <x v="663"/>
    <x v="375"/>
    <x v="53"/>
    <x v="0"/>
    <x v="0"/>
    <x v="0"/>
    <x v="1"/>
    <s v="Laptops"/>
    <x v="17"/>
    <x v="291"/>
    <n v="4"/>
    <n v="0.05"/>
    <x v="662"/>
    <x v="4"/>
    <x v="6"/>
    <x v="0"/>
  </r>
  <r>
    <x v="664"/>
    <x v="237"/>
    <x v="263"/>
    <x v="11"/>
    <x v="3"/>
    <x v="0"/>
    <x v="3"/>
    <s v="Stationery"/>
    <x v="5"/>
    <x v="107"/>
    <n v="3"/>
    <n v="0.05"/>
    <x v="663"/>
    <x v="2"/>
    <x v="7"/>
    <x v="1"/>
  </r>
  <r>
    <x v="665"/>
    <x v="96"/>
    <x v="63"/>
    <x v="11"/>
    <x v="3"/>
    <x v="0"/>
    <x v="1"/>
    <s v="Laptops"/>
    <x v="19"/>
    <x v="269"/>
    <n v="6"/>
    <n v="0.15"/>
    <x v="664"/>
    <x v="0"/>
    <x v="3"/>
    <x v="1"/>
  </r>
  <r>
    <x v="666"/>
    <x v="434"/>
    <x v="11"/>
    <x v="9"/>
    <x v="7"/>
    <x v="2"/>
    <x v="1"/>
    <s v="Accessories"/>
    <x v="2"/>
    <x v="170"/>
    <n v="6"/>
    <n v="0.15"/>
    <x v="665"/>
    <x v="4"/>
    <x v="7"/>
    <x v="0"/>
  </r>
  <r>
    <x v="667"/>
    <x v="297"/>
    <x v="175"/>
    <x v="9"/>
    <x v="7"/>
    <x v="2"/>
    <x v="4"/>
    <s v="Storage"/>
    <x v="14"/>
    <x v="292"/>
    <n v="3"/>
    <n v="0"/>
    <x v="666"/>
    <x v="4"/>
    <x v="1"/>
    <x v="0"/>
  </r>
  <r>
    <x v="668"/>
    <x v="435"/>
    <x v="267"/>
    <x v="11"/>
    <x v="3"/>
    <x v="0"/>
    <x v="4"/>
    <s v="Tables"/>
    <x v="7"/>
    <x v="293"/>
    <n v="2"/>
    <n v="0.05"/>
    <x v="667"/>
    <x v="4"/>
    <x v="5"/>
    <x v="2"/>
  </r>
  <r>
    <x v="669"/>
    <x v="436"/>
    <x v="50"/>
    <x v="15"/>
    <x v="11"/>
    <x v="2"/>
    <x v="1"/>
    <s v="Mobiles"/>
    <x v="6"/>
    <x v="267"/>
    <n v="4"/>
    <n v="0.05"/>
    <x v="668"/>
    <x v="4"/>
    <x v="9"/>
    <x v="2"/>
  </r>
  <r>
    <x v="670"/>
    <x v="437"/>
    <x v="49"/>
    <x v="1"/>
    <x v="1"/>
    <x v="1"/>
    <x v="1"/>
    <s v="Accessories"/>
    <x v="2"/>
    <x v="62"/>
    <n v="5"/>
    <n v="0.1"/>
    <x v="669"/>
    <x v="0"/>
    <x v="5"/>
    <x v="1"/>
  </r>
  <r>
    <x v="671"/>
    <x v="438"/>
    <x v="169"/>
    <x v="2"/>
    <x v="2"/>
    <x v="2"/>
    <x v="3"/>
    <s v="Organizers"/>
    <x v="20"/>
    <x v="294"/>
    <n v="2"/>
    <n v="0"/>
    <x v="670"/>
    <x v="1"/>
    <x v="4"/>
    <x v="2"/>
  </r>
  <r>
    <x v="672"/>
    <x v="177"/>
    <x v="64"/>
    <x v="7"/>
    <x v="5"/>
    <x v="1"/>
    <x v="4"/>
    <s v="Chairs"/>
    <x v="10"/>
    <x v="229"/>
    <n v="1"/>
    <n v="0.15"/>
    <x v="671"/>
    <x v="4"/>
    <x v="6"/>
    <x v="2"/>
  </r>
  <r>
    <x v="673"/>
    <x v="0"/>
    <x v="229"/>
    <x v="5"/>
    <x v="4"/>
    <x v="3"/>
    <x v="0"/>
    <s v="Cleaning"/>
    <x v="0"/>
    <x v="36"/>
    <n v="1"/>
    <n v="0.1"/>
    <x v="672"/>
    <x v="2"/>
    <x v="2"/>
    <x v="0"/>
  </r>
  <r>
    <x v="674"/>
    <x v="439"/>
    <x v="268"/>
    <x v="15"/>
    <x v="11"/>
    <x v="2"/>
    <x v="1"/>
    <s v="Laptops"/>
    <x v="17"/>
    <x v="295"/>
    <n v="1"/>
    <n v="0.05"/>
    <x v="673"/>
    <x v="4"/>
    <x v="2"/>
    <x v="1"/>
  </r>
  <r>
    <x v="675"/>
    <x v="440"/>
    <x v="106"/>
    <x v="10"/>
    <x v="8"/>
    <x v="3"/>
    <x v="3"/>
    <s v="Organizers"/>
    <x v="20"/>
    <x v="296"/>
    <n v="4"/>
    <n v="0.1"/>
    <x v="674"/>
    <x v="2"/>
    <x v="8"/>
    <x v="1"/>
  </r>
  <r>
    <x v="676"/>
    <x v="6"/>
    <x v="62"/>
    <x v="9"/>
    <x v="7"/>
    <x v="2"/>
    <x v="1"/>
    <s v="Laptops"/>
    <x v="17"/>
    <x v="134"/>
    <n v="2"/>
    <n v="0"/>
    <x v="675"/>
    <x v="2"/>
    <x v="0"/>
    <x v="1"/>
  </r>
  <r>
    <x v="677"/>
    <x v="441"/>
    <x v="100"/>
    <x v="0"/>
    <x v="0"/>
    <x v="0"/>
    <x v="2"/>
    <s v="Women"/>
    <x v="3"/>
    <x v="3"/>
    <n v="6"/>
    <n v="0.15"/>
    <x v="676"/>
    <x v="0"/>
    <x v="5"/>
    <x v="2"/>
  </r>
  <r>
    <x v="678"/>
    <x v="442"/>
    <x v="199"/>
    <x v="8"/>
    <x v="6"/>
    <x v="4"/>
    <x v="1"/>
    <s v="Mobiles"/>
    <x v="1"/>
    <x v="297"/>
    <n v="5"/>
    <n v="0"/>
    <x v="677"/>
    <x v="0"/>
    <x v="5"/>
    <x v="0"/>
  </r>
  <r>
    <x v="679"/>
    <x v="443"/>
    <x v="92"/>
    <x v="15"/>
    <x v="11"/>
    <x v="2"/>
    <x v="4"/>
    <s v="Chairs"/>
    <x v="9"/>
    <x v="213"/>
    <n v="5"/>
    <n v="0.05"/>
    <x v="678"/>
    <x v="4"/>
    <x v="6"/>
    <x v="2"/>
  </r>
  <r>
    <x v="680"/>
    <x v="375"/>
    <x v="175"/>
    <x v="13"/>
    <x v="3"/>
    <x v="0"/>
    <x v="3"/>
    <s v="Stationery"/>
    <x v="15"/>
    <x v="31"/>
    <n v="1"/>
    <n v="0.1"/>
    <x v="679"/>
    <x v="4"/>
    <x v="4"/>
    <x v="1"/>
  </r>
  <r>
    <x v="681"/>
    <x v="444"/>
    <x v="118"/>
    <x v="3"/>
    <x v="3"/>
    <x v="0"/>
    <x v="3"/>
    <s v="Organizers"/>
    <x v="20"/>
    <x v="298"/>
    <n v="4"/>
    <n v="0.2"/>
    <x v="680"/>
    <x v="4"/>
    <x v="6"/>
    <x v="1"/>
  </r>
  <r>
    <x v="682"/>
    <x v="48"/>
    <x v="23"/>
    <x v="4"/>
    <x v="3"/>
    <x v="0"/>
    <x v="4"/>
    <s v="Storage"/>
    <x v="14"/>
    <x v="292"/>
    <n v="3"/>
    <n v="0"/>
    <x v="681"/>
    <x v="4"/>
    <x v="2"/>
    <x v="1"/>
  </r>
  <r>
    <x v="683"/>
    <x v="445"/>
    <x v="41"/>
    <x v="4"/>
    <x v="3"/>
    <x v="0"/>
    <x v="0"/>
    <s v="Cleaning"/>
    <x v="0"/>
    <x v="299"/>
    <n v="4"/>
    <n v="0.1"/>
    <x v="682"/>
    <x v="1"/>
    <x v="8"/>
    <x v="2"/>
  </r>
  <r>
    <x v="684"/>
    <x v="446"/>
    <x v="8"/>
    <x v="4"/>
    <x v="3"/>
    <x v="0"/>
    <x v="1"/>
    <s v="Accessories"/>
    <x v="16"/>
    <x v="256"/>
    <n v="3"/>
    <n v="0.1"/>
    <x v="683"/>
    <x v="4"/>
    <x v="1"/>
    <x v="2"/>
  </r>
  <r>
    <x v="685"/>
    <x v="447"/>
    <x v="173"/>
    <x v="13"/>
    <x v="3"/>
    <x v="0"/>
    <x v="4"/>
    <s v="Chairs"/>
    <x v="9"/>
    <x v="237"/>
    <n v="1"/>
    <n v="0"/>
    <x v="684"/>
    <x v="0"/>
    <x v="7"/>
    <x v="1"/>
  </r>
  <r>
    <x v="686"/>
    <x v="448"/>
    <x v="68"/>
    <x v="12"/>
    <x v="9"/>
    <x v="0"/>
    <x v="4"/>
    <s v="Chairs"/>
    <x v="10"/>
    <x v="233"/>
    <n v="2"/>
    <n v="0"/>
    <x v="685"/>
    <x v="1"/>
    <x v="1"/>
    <x v="0"/>
  </r>
  <r>
    <x v="687"/>
    <x v="449"/>
    <x v="220"/>
    <x v="13"/>
    <x v="3"/>
    <x v="0"/>
    <x v="3"/>
    <s v="Stationery"/>
    <x v="15"/>
    <x v="172"/>
    <n v="3"/>
    <n v="0.15"/>
    <x v="686"/>
    <x v="0"/>
    <x v="2"/>
    <x v="0"/>
  </r>
  <r>
    <x v="688"/>
    <x v="450"/>
    <x v="88"/>
    <x v="10"/>
    <x v="8"/>
    <x v="3"/>
    <x v="2"/>
    <s v="Men"/>
    <x v="11"/>
    <x v="258"/>
    <n v="6"/>
    <n v="0.1"/>
    <x v="687"/>
    <x v="1"/>
    <x v="8"/>
    <x v="0"/>
  </r>
  <r>
    <x v="689"/>
    <x v="269"/>
    <x v="145"/>
    <x v="4"/>
    <x v="3"/>
    <x v="0"/>
    <x v="1"/>
    <s v="Accessories"/>
    <x v="2"/>
    <x v="34"/>
    <n v="1"/>
    <n v="0.05"/>
    <x v="688"/>
    <x v="3"/>
    <x v="6"/>
    <x v="0"/>
  </r>
  <r>
    <x v="690"/>
    <x v="247"/>
    <x v="184"/>
    <x v="2"/>
    <x v="2"/>
    <x v="2"/>
    <x v="1"/>
    <s v="Mobiles"/>
    <x v="1"/>
    <x v="80"/>
    <n v="3"/>
    <n v="0.1"/>
    <x v="689"/>
    <x v="0"/>
    <x v="0"/>
    <x v="0"/>
  </r>
  <r>
    <x v="691"/>
    <x v="4"/>
    <x v="174"/>
    <x v="10"/>
    <x v="8"/>
    <x v="3"/>
    <x v="3"/>
    <s v="Organizers"/>
    <x v="20"/>
    <x v="209"/>
    <n v="4"/>
    <n v="0.05"/>
    <x v="690"/>
    <x v="2"/>
    <x v="1"/>
    <x v="0"/>
  </r>
  <r>
    <x v="692"/>
    <x v="451"/>
    <x v="68"/>
    <x v="12"/>
    <x v="9"/>
    <x v="0"/>
    <x v="2"/>
    <s v="Men"/>
    <x v="21"/>
    <x v="162"/>
    <n v="5"/>
    <n v="0.05"/>
    <x v="691"/>
    <x v="0"/>
    <x v="0"/>
    <x v="0"/>
  </r>
  <r>
    <x v="693"/>
    <x v="29"/>
    <x v="30"/>
    <x v="8"/>
    <x v="6"/>
    <x v="4"/>
    <x v="4"/>
    <s v="Chairs"/>
    <x v="10"/>
    <x v="105"/>
    <n v="6"/>
    <n v="0"/>
    <x v="692"/>
    <x v="3"/>
    <x v="3"/>
    <x v="0"/>
  </r>
  <r>
    <x v="694"/>
    <x v="146"/>
    <x v="9"/>
    <x v="10"/>
    <x v="8"/>
    <x v="3"/>
    <x v="0"/>
    <s v="Cooling"/>
    <x v="13"/>
    <x v="35"/>
    <n v="6"/>
    <n v="0.1"/>
    <x v="693"/>
    <x v="1"/>
    <x v="4"/>
    <x v="0"/>
  </r>
  <r>
    <x v="695"/>
    <x v="307"/>
    <x v="112"/>
    <x v="5"/>
    <x v="4"/>
    <x v="3"/>
    <x v="1"/>
    <s v="Accessories"/>
    <x v="2"/>
    <x v="66"/>
    <n v="6"/>
    <n v="0.05"/>
    <x v="694"/>
    <x v="1"/>
    <x v="7"/>
    <x v="0"/>
  </r>
  <r>
    <x v="696"/>
    <x v="443"/>
    <x v="18"/>
    <x v="10"/>
    <x v="8"/>
    <x v="3"/>
    <x v="0"/>
    <s v="Kitchen"/>
    <x v="8"/>
    <x v="173"/>
    <n v="4"/>
    <n v="0.15"/>
    <x v="695"/>
    <x v="1"/>
    <x v="2"/>
    <x v="1"/>
  </r>
  <r>
    <x v="697"/>
    <x v="433"/>
    <x v="29"/>
    <x v="15"/>
    <x v="11"/>
    <x v="2"/>
    <x v="4"/>
    <s v="Storage"/>
    <x v="14"/>
    <x v="181"/>
    <n v="5"/>
    <n v="0.1"/>
    <x v="696"/>
    <x v="3"/>
    <x v="7"/>
    <x v="1"/>
  </r>
  <r>
    <x v="698"/>
    <x v="452"/>
    <x v="77"/>
    <x v="2"/>
    <x v="2"/>
    <x v="2"/>
    <x v="2"/>
    <s v="Men"/>
    <x v="11"/>
    <x v="33"/>
    <n v="1"/>
    <n v="0.1"/>
    <x v="697"/>
    <x v="0"/>
    <x v="9"/>
    <x v="0"/>
  </r>
  <r>
    <x v="699"/>
    <x v="344"/>
    <x v="227"/>
    <x v="15"/>
    <x v="11"/>
    <x v="2"/>
    <x v="4"/>
    <s v="Storage"/>
    <x v="14"/>
    <x v="300"/>
    <n v="3"/>
    <n v="0.15"/>
    <x v="698"/>
    <x v="1"/>
    <x v="9"/>
    <x v="1"/>
  </r>
  <r>
    <x v="700"/>
    <x v="336"/>
    <x v="181"/>
    <x v="3"/>
    <x v="3"/>
    <x v="0"/>
    <x v="0"/>
    <s v="Cleaning"/>
    <x v="0"/>
    <x v="78"/>
    <n v="5"/>
    <n v="0"/>
    <x v="699"/>
    <x v="2"/>
    <x v="5"/>
    <x v="1"/>
  </r>
  <r>
    <x v="701"/>
    <x v="453"/>
    <x v="15"/>
    <x v="14"/>
    <x v="10"/>
    <x v="0"/>
    <x v="2"/>
    <s v="Men"/>
    <x v="21"/>
    <x v="284"/>
    <n v="5"/>
    <n v="0"/>
    <x v="700"/>
    <x v="1"/>
    <x v="1"/>
    <x v="1"/>
  </r>
  <r>
    <x v="702"/>
    <x v="70"/>
    <x v="202"/>
    <x v="15"/>
    <x v="11"/>
    <x v="2"/>
    <x v="3"/>
    <s v="Paper"/>
    <x v="12"/>
    <x v="169"/>
    <n v="4"/>
    <n v="0.15"/>
    <x v="701"/>
    <x v="2"/>
    <x v="6"/>
    <x v="2"/>
  </r>
  <r>
    <x v="703"/>
    <x v="417"/>
    <x v="231"/>
    <x v="7"/>
    <x v="5"/>
    <x v="1"/>
    <x v="3"/>
    <s v="Stationery"/>
    <x v="15"/>
    <x v="199"/>
    <n v="2"/>
    <n v="0.15"/>
    <x v="702"/>
    <x v="1"/>
    <x v="2"/>
    <x v="0"/>
  </r>
  <r>
    <x v="704"/>
    <x v="275"/>
    <x v="44"/>
    <x v="12"/>
    <x v="9"/>
    <x v="0"/>
    <x v="0"/>
    <s v="Kitchen"/>
    <x v="8"/>
    <x v="240"/>
    <n v="3"/>
    <n v="0.1"/>
    <x v="703"/>
    <x v="1"/>
    <x v="1"/>
    <x v="1"/>
  </r>
  <r>
    <x v="705"/>
    <x v="454"/>
    <x v="237"/>
    <x v="15"/>
    <x v="11"/>
    <x v="2"/>
    <x v="2"/>
    <s v="Women"/>
    <x v="4"/>
    <x v="72"/>
    <n v="4"/>
    <n v="0.05"/>
    <x v="704"/>
    <x v="4"/>
    <x v="4"/>
    <x v="0"/>
  </r>
  <r>
    <x v="706"/>
    <x v="193"/>
    <x v="57"/>
    <x v="9"/>
    <x v="7"/>
    <x v="2"/>
    <x v="1"/>
    <s v="Laptops"/>
    <x v="19"/>
    <x v="290"/>
    <n v="4"/>
    <n v="0"/>
    <x v="705"/>
    <x v="1"/>
    <x v="5"/>
    <x v="1"/>
  </r>
  <r>
    <x v="707"/>
    <x v="432"/>
    <x v="0"/>
    <x v="11"/>
    <x v="3"/>
    <x v="0"/>
    <x v="1"/>
    <s v="Mobiles"/>
    <x v="1"/>
    <x v="301"/>
    <n v="5"/>
    <n v="0.1"/>
    <x v="706"/>
    <x v="4"/>
    <x v="2"/>
    <x v="0"/>
  </r>
  <r>
    <x v="708"/>
    <x v="385"/>
    <x v="190"/>
    <x v="5"/>
    <x v="4"/>
    <x v="3"/>
    <x v="3"/>
    <s v="Organizers"/>
    <x v="20"/>
    <x v="296"/>
    <n v="4"/>
    <n v="0.1"/>
    <x v="707"/>
    <x v="1"/>
    <x v="7"/>
    <x v="2"/>
  </r>
  <r>
    <x v="709"/>
    <x v="365"/>
    <x v="238"/>
    <x v="2"/>
    <x v="2"/>
    <x v="2"/>
    <x v="2"/>
    <s v="Women"/>
    <x v="4"/>
    <x v="66"/>
    <n v="6"/>
    <n v="0.05"/>
    <x v="708"/>
    <x v="2"/>
    <x v="6"/>
    <x v="0"/>
  </r>
  <r>
    <x v="710"/>
    <x v="455"/>
    <x v="47"/>
    <x v="4"/>
    <x v="3"/>
    <x v="0"/>
    <x v="4"/>
    <s v="Storage"/>
    <x v="14"/>
    <x v="181"/>
    <n v="5"/>
    <n v="0.1"/>
    <x v="709"/>
    <x v="0"/>
    <x v="9"/>
    <x v="0"/>
  </r>
  <r>
    <x v="711"/>
    <x v="456"/>
    <x v="40"/>
    <x v="10"/>
    <x v="8"/>
    <x v="3"/>
    <x v="1"/>
    <s v="Mobiles"/>
    <x v="1"/>
    <x v="302"/>
    <n v="6"/>
    <n v="0.15"/>
    <x v="710"/>
    <x v="4"/>
    <x v="4"/>
    <x v="0"/>
  </r>
  <r>
    <x v="712"/>
    <x v="77"/>
    <x v="208"/>
    <x v="3"/>
    <x v="3"/>
    <x v="0"/>
    <x v="3"/>
    <s v="Stationery"/>
    <x v="15"/>
    <x v="44"/>
    <n v="6"/>
    <n v="0"/>
    <x v="711"/>
    <x v="1"/>
    <x v="1"/>
    <x v="0"/>
  </r>
  <r>
    <x v="713"/>
    <x v="359"/>
    <x v="136"/>
    <x v="4"/>
    <x v="3"/>
    <x v="0"/>
    <x v="1"/>
    <s v="Mobiles"/>
    <x v="1"/>
    <x v="24"/>
    <n v="2"/>
    <n v="0.15"/>
    <x v="712"/>
    <x v="1"/>
    <x v="0"/>
    <x v="0"/>
  </r>
  <r>
    <x v="714"/>
    <x v="159"/>
    <x v="90"/>
    <x v="11"/>
    <x v="3"/>
    <x v="0"/>
    <x v="1"/>
    <s v="Accessories"/>
    <x v="16"/>
    <x v="83"/>
    <n v="6"/>
    <n v="0.15"/>
    <x v="713"/>
    <x v="2"/>
    <x v="2"/>
    <x v="2"/>
  </r>
  <r>
    <x v="715"/>
    <x v="313"/>
    <x v="112"/>
    <x v="13"/>
    <x v="3"/>
    <x v="0"/>
    <x v="0"/>
    <s v="Kitchen"/>
    <x v="18"/>
    <x v="41"/>
    <n v="2"/>
    <n v="0.1"/>
    <x v="714"/>
    <x v="2"/>
    <x v="1"/>
    <x v="2"/>
  </r>
  <r>
    <x v="716"/>
    <x v="207"/>
    <x v="187"/>
    <x v="10"/>
    <x v="8"/>
    <x v="3"/>
    <x v="0"/>
    <s v="Cleaning"/>
    <x v="0"/>
    <x v="0"/>
    <n v="3"/>
    <n v="0.15"/>
    <x v="715"/>
    <x v="4"/>
    <x v="0"/>
    <x v="1"/>
  </r>
  <r>
    <x v="717"/>
    <x v="400"/>
    <x v="228"/>
    <x v="10"/>
    <x v="8"/>
    <x v="3"/>
    <x v="1"/>
    <s v="Mobiles"/>
    <x v="1"/>
    <x v="90"/>
    <n v="5"/>
    <n v="0.15"/>
    <x v="716"/>
    <x v="1"/>
    <x v="2"/>
    <x v="2"/>
  </r>
  <r>
    <x v="718"/>
    <x v="428"/>
    <x v="59"/>
    <x v="1"/>
    <x v="1"/>
    <x v="1"/>
    <x v="3"/>
    <s v="Paper"/>
    <x v="12"/>
    <x v="5"/>
    <n v="3"/>
    <n v="0.1"/>
    <x v="717"/>
    <x v="0"/>
    <x v="8"/>
    <x v="0"/>
  </r>
  <r>
    <x v="719"/>
    <x v="457"/>
    <x v="161"/>
    <x v="12"/>
    <x v="9"/>
    <x v="0"/>
    <x v="1"/>
    <s v="Mobiles"/>
    <x v="6"/>
    <x v="303"/>
    <n v="2"/>
    <n v="0.15"/>
    <x v="718"/>
    <x v="3"/>
    <x v="0"/>
    <x v="1"/>
  </r>
  <r>
    <x v="720"/>
    <x v="46"/>
    <x v="42"/>
    <x v="0"/>
    <x v="0"/>
    <x v="0"/>
    <x v="3"/>
    <s v="Stationery"/>
    <x v="5"/>
    <x v="32"/>
    <n v="5"/>
    <n v="0.1"/>
    <x v="719"/>
    <x v="1"/>
    <x v="0"/>
    <x v="0"/>
  </r>
  <r>
    <x v="721"/>
    <x v="423"/>
    <x v="227"/>
    <x v="7"/>
    <x v="5"/>
    <x v="1"/>
    <x v="3"/>
    <s v="Paper"/>
    <x v="12"/>
    <x v="262"/>
    <n v="6"/>
    <n v="0.05"/>
    <x v="720"/>
    <x v="2"/>
    <x v="5"/>
    <x v="1"/>
  </r>
  <r>
    <x v="722"/>
    <x v="458"/>
    <x v="269"/>
    <x v="12"/>
    <x v="9"/>
    <x v="0"/>
    <x v="4"/>
    <s v="Chairs"/>
    <x v="10"/>
    <x v="13"/>
    <n v="1"/>
    <n v="0.05"/>
    <x v="721"/>
    <x v="4"/>
    <x v="2"/>
    <x v="0"/>
  </r>
  <r>
    <x v="723"/>
    <x v="397"/>
    <x v="28"/>
    <x v="3"/>
    <x v="3"/>
    <x v="0"/>
    <x v="0"/>
    <s v="Cooling"/>
    <x v="13"/>
    <x v="60"/>
    <n v="4"/>
    <n v="0.1"/>
    <x v="722"/>
    <x v="4"/>
    <x v="5"/>
    <x v="2"/>
  </r>
  <r>
    <x v="724"/>
    <x v="142"/>
    <x v="266"/>
    <x v="15"/>
    <x v="11"/>
    <x v="2"/>
    <x v="2"/>
    <s v="Women"/>
    <x v="4"/>
    <x v="170"/>
    <n v="6"/>
    <n v="0.15"/>
    <x v="723"/>
    <x v="0"/>
    <x v="2"/>
    <x v="0"/>
  </r>
  <r>
    <x v="725"/>
    <x v="110"/>
    <x v="84"/>
    <x v="7"/>
    <x v="5"/>
    <x v="1"/>
    <x v="1"/>
    <s v="Accessories"/>
    <x v="2"/>
    <x v="54"/>
    <n v="6"/>
    <n v="0"/>
    <x v="724"/>
    <x v="4"/>
    <x v="6"/>
    <x v="1"/>
  </r>
  <r>
    <x v="726"/>
    <x v="459"/>
    <x v="205"/>
    <x v="13"/>
    <x v="3"/>
    <x v="0"/>
    <x v="1"/>
    <s v="Laptops"/>
    <x v="17"/>
    <x v="304"/>
    <n v="2"/>
    <n v="0.15"/>
    <x v="725"/>
    <x v="1"/>
    <x v="7"/>
    <x v="2"/>
  </r>
  <r>
    <x v="727"/>
    <x v="460"/>
    <x v="185"/>
    <x v="9"/>
    <x v="7"/>
    <x v="2"/>
    <x v="1"/>
    <s v="Mobiles"/>
    <x v="1"/>
    <x v="45"/>
    <n v="1"/>
    <n v="0.1"/>
    <x v="726"/>
    <x v="1"/>
    <x v="6"/>
    <x v="1"/>
  </r>
  <r>
    <x v="728"/>
    <x v="461"/>
    <x v="200"/>
    <x v="15"/>
    <x v="11"/>
    <x v="2"/>
    <x v="1"/>
    <s v="Laptops"/>
    <x v="19"/>
    <x v="108"/>
    <n v="2"/>
    <n v="0.2"/>
    <x v="727"/>
    <x v="1"/>
    <x v="3"/>
    <x v="2"/>
  </r>
  <r>
    <x v="729"/>
    <x v="462"/>
    <x v="84"/>
    <x v="5"/>
    <x v="4"/>
    <x v="3"/>
    <x v="4"/>
    <s v="Chairs"/>
    <x v="9"/>
    <x v="305"/>
    <n v="1"/>
    <n v="0.1"/>
    <x v="728"/>
    <x v="1"/>
    <x v="4"/>
    <x v="2"/>
  </r>
  <r>
    <x v="730"/>
    <x v="50"/>
    <x v="261"/>
    <x v="2"/>
    <x v="2"/>
    <x v="2"/>
    <x v="4"/>
    <s v="Chairs"/>
    <x v="9"/>
    <x v="73"/>
    <n v="3"/>
    <n v="0.05"/>
    <x v="729"/>
    <x v="4"/>
    <x v="5"/>
    <x v="2"/>
  </r>
  <r>
    <x v="731"/>
    <x v="206"/>
    <x v="238"/>
    <x v="1"/>
    <x v="1"/>
    <x v="1"/>
    <x v="1"/>
    <s v="Accessories"/>
    <x v="2"/>
    <x v="34"/>
    <n v="1"/>
    <n v="0.05"/>
    <x v="730"/>
    <x v="4"/>
    <x v="2"/>
    <x v="0"/>
  </r>
  <r>
    <x v="732"/>
    <x v="463"/>
    <x v="145"/>
    <x v="10"/>
    <x v="8"/>
    <x v="3"/>
    <x v="1"/>
    <s v="Accessories"/>
    <x v="16"/>
    <x v="37"/>
    <n v="6"/>
    <n v="0.2"/>
    <x v="731"/>
    <x v="2"/>
    <x v="7"/>
    <x v="1"/>
  </r>
  <r>
    <x v="733"/>
    <x v="462"/>
    <x v="182"/>
    <x v="0"/>
    <x v="0"/>
    <x v="0"/>
    <x v="3"/>
    <s v="Stationery"/>
    <x v="5"/>
    <x v="107"/>
    <n v="3"/>
    <n v="0.05"/>
    <x v="732"/>
    <x v="3"/>
    <x v="6"/>
    <x v="1"/>
  </r>
  <r>
    <x v="734"/>
    <x v="118"/>
    <x v="20"/>
    <x v="11"/>
    <x v="3"/>
    <x v="0"/>
    <x v="1"/>
    <s v="Accessories"/>
    <x v="16"/>
    <x v="44"/>
    <n v="2"/>
    <n v="0"/>
    <x v="733"/>
    <x v="2"/>
    <x v="6"/>
    <x v="1"/>
  </r>
  <r>
    <x v="735"/>
    <x v="464"/>
    <x v="233"/>
    <x v="11"/>
    <x v="3"/>
    <x v="0"/>
    <x v="0"/>
    <s v="Kitchen"/>
    <x v="8"/>
    <x v="306"/>
    <n v="5"/>
    <n v="0.15"/>
    <x v="734"/>
    <x v="2"/>
    <x v="3"/>
    <x v="0"/>
  </r>
  <r>
    <x v="736"/>
    <x v="320"/>
    <x v="6"/>
    <x v="2"/>
    <x v="2"/>
    <x v="2"/>
    <x v="3"/>
    <s v="Stationery"/>
    <x v="5"/>
    <x v="203"/>
    <n v="1"/>
    <n v="0"/>
    <x v="735"/>
    <x v="3"/>
    <x v="7"/>
    <x v="1"/>
  </r>
  <r>
    <x v="737"/>
    <x v="465"/>
    <x v="270"/>
    <x v="3"/>
    <x v="3"/>
    <x v="0"/>
    <x v="0"/>
    <s v="Kitchen"/>
    <x v="18"/>
    <x v="41"/>
    <n v="2"/>
    <n v="0.1"/>
    <x v="736"/>
    <x v="0"/>
    <x v="6"/>
    <x v="0"/>
  </r>
  <r>
    <x v="738"/>
    <x v="163"/>
    <x v="247"/>
    <x v="8"/>
    <x v="6"/>
    <x v="4"/>
    <x v="1"/>
    <s v="Mobiles"/>
    <x v="6"/>
    <x v="208"/>
    <n v="2"/>
    <n v="0.1"/>
    <x v="737"/>
    <x v="0"/>
    <x v="0"/>
    <x v="0"/>
  </r>
  <r>
    <x v="739"/>
    <x v="459"/>
    <x v="129"/>
    <x v="13"/>
    <x v="3"/>
    <x v="0"/>
    <x v="3"/>
    <s v="Organizers"/>
    <x v="20"/>
    <x v="265"/>
    <n v="1"/>
    <n v="0.1"/>
    <x v="738"/>
    <x v="2"/>
    <x v="4"/>
    <x v="0"/>
  </r>
  <r>
    <x v="740"/>
    <x v="466"/>
    <x v="127"/>
    <x v="13"/>
    <x v="3"/>
    <x v="0"/>
    <x v="4"/>
    <s v="Chairs"/>
    <x v="9"/>
    <x v="307"/>
    <n v="4"/>
    <n v="0"/>
    <x v="739"/>
    <x v="0"/>
    <x v="0"/>
    <x v="0"/>
  </r>
  <r>
    <x v="741"/>
    <x v="115"/>
    <x v="188"/>
    <x v="11"/>
    <x v="3"/>
    <x v="0"/>
    <x v="0"/>
    <s v="Kitchen"/>
    <x v="18"/>
    <x v="41"/>
    <n v="2"/>
    <n v="0.1"/>
    <x v="740"/>
    <x v="3"/>
    <x v="8"/>
    <x v="2"/>
  </r>
  <r>
    <x v="742"/>
    <x v="35"/>
    <x v="182"/>
    <x v="4"/>
    <x v="3"/>
    <x v="0"/>
    <x v="1"/>
    <s v="Laptops"/>
    <x v="19"/>
    <x v="290"/>
    <n v="4"/>
    <n v="0"/>
    <x v="741"/>
    <x v="0"/>
    <x v="2"/>
    <x v="0"/>
  </r>
  <r>
    <x v="743"/>
    <x v="265"/>
    <x v="173"/>
    <x v="13"/>
    <x v="3"/>
    <x v="0"/>
    <x v="3"/>
    <s v="Paper"/>
    <x v="12"/>
    <x v="59"/>
    <n v="5"/>
    <n v="0.15"/>
    <x v="742"/>
    <x v="2"/>
    <x v="8"/>
    <x v="2"/>
  </r>
  <r>
    <x v="744"/>
    <x v="98"/>
    <x v="188"/>
    <x v="13"/>
    <x v="3"/>
    <x v="0"/>
    <x v="1"/>
    <s v="Mobiles"/>
    <x v="6"/>
    <x v="211"/>
    <n v="6"/>
    <n v="0.1"/>
    <x v="743"/>
    <x v="0"/>
    <x v="7"/>
    <x v="2"/>
  </r>
  <r>
    <x v="745"/>
    <x v="106"/>
    <x v="261"/>
    <x v="5"/>
    <x v="4"/>
    <x v="3"/>
    <x v="3"/>
    <s v="Stationery"/>
    <x v="15"/>
    <x v="192"/>
    <n v="1"/>
    <n v="0.05"/>
    <x v="744"/>
    <x v="1"/>
    <x v="0"/>
    <x v="1"/>
  </r>
  <r>
    <x v="746"/>
    <x v="108"/>
    <x v="271"/>
    <x v="12"/>
    <x v="9"/>
    <x v="0"/>
    <x v="1"/>
    <s v="Accessories"/>
    <x v="16"/>
    <x v="117"/>
    <n v="3"/>
    <n v="0"/>
    <x v="745"/>
    <x v="1"/>
    <x v="4"/>
    <x v="2"/>
  </r>
  <r>
    <x v="747"/>
    <x v="405"/>
    <x v="243"/>
    <x v="12"/>
    <x v="9"/>
    <x v="0"/>
    <x v="2"/>
    <s v="Men"/>
    <x v="11"/>
    <x v="59"/>
    <n v="5"/>
    <n v="0.15"/>
    <x v="746"/>
    <x v="0"/>
    <x v="9"/>
    <x v="2"/>
  </r>
  <r>
    <x v="748"/>
    <x v="356"/>
    <x v="57"/>
    <x v="6"/>
    <x v="1"/>
    <x v="1"/>
    <x v="2"/>
    <s v="Men"/>
    <x v="21"/>
    <x v="148"/>
    <n v="4"/>
    <n v="0.1"/>
    <x v="747"/>
    <x v="4"/>
    <x v="5"/>
    <x v="2"/>
  </r>
  <r>
    <x v="749"/>
    <x v="188"/>
    <x v="108"/>
    <x v="12"/>
    <x v="9"/>
    <x v="0"/>
    <x v="0"/>
    <s v="Kitchen"/>
    <x v="8"/>
    <x v="42"/>
    <n v="5"/>
    <n v="0"/>
    <x v="748"/>
    <x v="2"/>
    <x v="5"/>
    <x v="1"/>
  </r>
  <r>
    <x v="750"/>
    <x v="467"/>
    <x v="30"/>
    <x v="15"/>
    <x v="11"/>
    <x v="2"/>
    <x v="1"/>
    <s v="Mobiles"/>
    <x v="6"/>
    <x v="208"/>
    <n v="2"/>
    <n v="0.1"/>
    <x v="749"/>
    <x v="4"/>
    <x v="3"/>
    <x v="2"/>
  </r>
  <r>
    <x v="751"/>
    <x v="257"/>
    <x v="67"/>
    <x v="10"/>
    <x v="8"/>
    <x v="3"/>
    <x v="4"/>
    <s v="Chairs"/>
    <x v="10"/>
    <x v="218"/>
    <n v="5"/>
    <n v="0"/>
    <x v="750"/>
    <x v="4"/>
    <x v="6"/>
    <x v="2"/>
  </r>
  <r>
    <x v="752"/>
    <x v="468"/>
    <x v="176"/>
    <x v="15"/>
    <x v="11"/>
    <x v="2"/>
    <x v="1"/>
    <s v="Laptops"/>
    <x v="17"/>
    <x v="84"/>
    <n v="3"/>
    <n v="0.1"/>
    <x v="751"/>
    <x v="1"/>
    <x v="7"/>
    <x v="1"/>
  </r>
  <r>
    <x v="753"/>
    <x v="448"/>
    <x v="208"/>
    <x v="13"/>
    <x v="3"/>
    <x v="0"/>
    <x v="0"/>
    <s v="Cleaning"/>
    <x v="0"/>
    <x v="207"/>
    <n v="2"/>
    <n v="0.05"/>
    <x v="752"/>
    <x v="1"/>
    <x v="0"/>
    <x v="1"/>
  </r>
  <r>
    <x v="754"/>
    <x v="133"/>
    <x v="97"/>
    <x v="8"/>
    <x v="6"/>
    <x v="4"/>
    <x v="0"/>
    <s v="Cooling"/>
    <x v="13"/>
    <x v="35"/>
    <n v="6"/>
    <n v="0.1"/>
    <x v="753"/>
    <x v="1"/>
    <x v="7"/>
    <x v="1"/>
  </r>
  <r>
    <x v="755"/>
    <x v="469"/>
    <x v="0"/>
    <x v="3"/>
    <x v="3"/>
    <x v="0"/>
    <x v="4"/>
    <s v="Chairs"/>
    <x v="10"/>
    <x v="35"/>
    <n v="6"/>
    <n v="0.1"/>
    <x v="754"/>
    <x v="2"/>
    <x v="5"/>
    <x v="0"/>
  </r>
  <r>
    <x v="756"/>
    <x v="421"/>
    <x v="211"/>
    <x v="6"/>
    <x v="1"/>
    <x v="1"/>
    <x v="0"/>
    <s v="Kitchen"/>
    <x v="8"/>
    <x v="308"/>
    <n v="1"/>
    <n v="0.1"/>
    <x v="755"/>
    <x v="3"/>
    <x v="5"/>
    <x v="2"/>
  </r>
  <r>
    <x v="757"/>
    <x v="199"/>
    <x v="264"/>
    <x v="5"/>
    <x v="4"/>
    <x v="3"/>
    <x v="1"/>
    <s v="Accessories"/>
    <x v="16"/>
    <x v="77"/>
    <n v="3"/>
    <n v="0.15"/>
    <x v="756"/>
    <x v="4"/>
    <x v="2"/>
    <x v="1"/>
  </r>
  <r>
    <x v="758"/>
    <x v="470"/>
    <x v="48"/>
    <x v="6"/>
    <x v="1"/>
    <x v="1"/>
    <x v="4"/>
    <s v="Storage"/>
    <x v="14"/>
    <x v="141"/>
    <n v="2"/>
    <n v="0.15"/>
    <x v="757"/>
    <x v="1"/>
    <x v="9"/>
    <x v="1"/>
  </r>
  <r>
    <x v="759"/>
    <x v="434"/>
    <x v="165"/>
    <x v="7"/>
    <x v="5"/>
    <x v="1"/>
    <x v="4"/>
    <s v="Chairs"/>
    <x v="10"/>
    <x v="229"/>
    <n v="1"/>
    <n v="0.15"/>
    <x v="758"/>
    <x v="1"/>
    <x v="6"/>
    <x v="0"/>
  </r>
  <r>
    <x v="760"/>
    <x v="272"/>
    <x v="1"/>
    <x v="15"/>
    <x v="11"/>
    <x v="2"/>
    <x v="1"/>
    <s v="Accessories"/>
    <x v="16"/>
    <x v="165"/>
    <n v="4"/>
    <n v="0"/>
    <x v="759"/>
    <x v="1"/>
    <x v="4"/>
    <x v="1"/>
  </r>
  <r>
    <x v="761"/>
    <x v="471"/>
    <x v="60"/>
    <x v="10"/>
    <x v="8"/>
    <x v="3"/>
    <x v="0"/>
    <s v="Cooling"/>
    <x v="13"/>
    <x v="158"/>
    <n v="5"/>
    <n v="0.1"/>
    <x v="760"/>
    <x v="4"/>
    <x v="9"/>
    <x v="0"/>
  </r>
  <r>
    <x v="762"/>
    <x v="472"/>
    <x v="235"/>
    <x v="1"/>
    <x v="1"/>
    <x v="1"/>
    <x v="2"/>
    <s v="Men"/>
    <x v="21"/>
    <x v="104"/>
    <n v="1"/>
    <n v="0.05"/>
    <x v="761"/>
    <x v="1"/>
    <x v="0"/>
    <x v="1"/>
  </r>
  <r>
    <x v="763"/>
    <x v="473"/>
    <x v="74"/>
    <x v="8"/>
    <x v="6"/>
    <x v="4"/>
    <x v="1"/>
    <s v="Accessories"/>
    <x v="16"/>
    <x v="117"/>
    <n v="3"/>
    <n v="0"/>
    <x v="762"/>
    <x v="0"/>
    <x v="2"/>
    <x v="0"/>
  </r>
  <r>
    <x v="764"/>
    <x v="421"/>
    <x v="233"/>
    <x v="2"/>
    <x v="2"/>
    <x v="2"/>
    <x v="1"/>
    <s v="Accessories"/>
    <x v="16"/>
    <x v="309"/>
    <n v="5"/>
    <n v="0.1"/>
    <x v="763"/>
    <x v="0"/>
    <x v="3"/>
    <x v="0"/>
  </r>
  <r>
    <x v="765"/>
    <x v="474"/>
    <x v="55"/>
    <x v="3"/>
    <x v="3"/>
    <x v="0"/>
    <x v="3"/>
    <s v="Stationery"/>
    <x v="15"/>
    <x v="166"/>
    <n v="2"/>
    <n v="0.1"/>
    <x v="764"/>
    <x v="2"/>
    <x v="8"/>
    <x v="0"/>
  </r>
  <r>
    <x v="766"/>
    <x v="125"/>
    <x v="240"/>
    <x v="12"/>
    <x v="9"/>
    <x v="0"/>
    <x v="0"/>
    <s v="Kitchen"/>
    <x v="18"/>
    <x v="41"/>
    <n v="2"/>
    <n v="0.1"/>
    <x v="765"/>
    <x v="1"/>
    <x v="8"/>
    <x v="0"/>
  </r>
  <r>
    <x v="767"/>
    <x v="475"/>
    <x v="130"/>
    <x v="13"/>
    <x v="3"/>
    <x v="0"/>
    <x v="3"/>
    <s v="Stationery"/>
    <x v="5"/>
    <x v="184"/>
    <n v="1"/>
    <n v="0.1"/>
    <x v="766"/>
    <x v="1"/>
    <x v="6"/>
    <x v="2"/>
  </r>
  <r>
    <x v="768"/>
    <x v="476"/>
    <x v="8"/>
    <x v="2"/>
    <x v="2"/>
    <x v="2"/>
    <x v="3"/>
    <s v="Stationery"/>
    <x v="15"/>
    <x v="251"/>
    <n v="4"/>
    <n v="0.15"/>
    <x v="767"/>
    <x v="1"/>
    <x v="6"/>
    <x v="2"/>
  </r>
  <r>
    <x v="769"/>
    <x v="166"/>
    <x v="272"/>
    <x v="2"/>
    <x v="2"/>
    <x v="2"/>
    <x v="4"/>
    <s v="Tables"/>
    <x v="7"/>
    <x v="194"/>
    <n v="6"/>
    <n v="0.1"/>
    <x v="768"/>
    <x v="0"/>
    <x v="8"/>
    <x v="1"/>
  </r>
  <r>
    <x v="770"/>
    <x v="477"/>
    <x v="77"/>
    <x v="5"/>
    <x v="4"/>
    <x v="3"/>
    <x v="2"/>
    <s v="Women"/>
    <x v="3"/>
    <x v="176"/>
    <n v="6"/>
    <n v="0.1"/>
    <x v="769"/>
    <x v="3"/>
    <x v="3"/>
    <x v="1"/>
  </r>
  <r>
    <x v="771"/>
    <x v="197"/>
    <x v="35"/>
    <x v="13"/>
    <x v="3"/>
    <x v="0"/>
    <x v="2"/>
    <s v="Men"/>
    <x v="21"/>
    <x v="175"/>
    <n v="2"/>
    <n v="0.05"/>
    <x v="770"/>
    <x v="2"/>
    <x v="6"/>
    <x v="1"/>
  </r>
  <r>
    <x v="772"/>
    <x v="346"/>
    <x v="64"/>
    <x v="14"/>
    <x v="10"/>
    <x v="0"/>
    <x v="4"/>
    <s v="Chairs"/>
    <x v="10"/>
    <x v="56"/>
    <n v="2"/>
    <n v="0.1"/>
    <x v="771"/>
    <x v="2"/>
    <x v="2"/>
    <x v="2"/>
  </r>
  <r>
    <x v="773"/>
    <x v="251"/>
    <x v="137"/>
    <x v="13"/>
    <x v="3"/>
    <x v="0"/>
    <x v="1"/>
    <s v="Mobiles"/>
    <x v="1"/>
    <x v="1"/>
    <n v="6"/>
    <n v="0.05"/>
    <x v="772"/>
    <x v="4"/>
    <x v="0"/>
    <x v="0"/>
  </r>
  <r>
    <x v="774"/>
    <x v="121"/>
    <x v="32"/>
    <x v="8"/>
    <x v="6"/>
    <x v="4"/>
    <x v="1"/>
    <s v="Mobiles"/>
    <x v="6"/>
    <x v="152"/>
    <n v="4"/>
    <n v="0.15"/>
    <x v="773"/>
    <x v="0"/>
    <x v="9"/>
    <x v="1"/>
  </r>
  <r>
    <x v="775"/>
    <x v="108"/>
    <x v="161"/>
    <x v="1"/>
    <x v="1"/>
    <x v="1"/>
    <x v="0"/>
    <s v="Kitchen"/>
    <x v="8"/>
    <x v="76"/>
    <n v="5"/>
    <n v="0.05"/>
    <x v="774"/>
    <x v="3"/>
    <x v="1"/>
    <x v="1"/>
  </r>
  <r>
    <x v="776"/>
    <x v="287"/>
    <x v="196"/>
    <x v="1"/>
    <x v="1"/>
    <x v="1"/>
    <x v="1"/>
    <s v="Laptops"/>
    <x v="19"/>
    <x v="290"/>
    <n v="4"/>
    <n v="0"/>
    <x v="775"/>
    <x v="0"/>
    <x v="6"/>
    <x v="2"/>
  </r>
  <r>
    <x v="777"/>
    <x v="166"/>
    <x v="148"/>
    <x v="7"/>
    <x v="5"/>
    <x v="1"/>
    <x v="3"/>
    <s v="Organizers"/>
    <x v="20"/>
    <x v="70"/>
    <n v="1"/>
    <n v="0.05"/>
    <x v="776"/>
    <x v="1"/>
    <x v="9"/>
    <x v="1"/>
  </r>
  <r>
    <x v="778"/>
    <x v="478"/>
    <x v="50"/>
    <x v="11"/>
    <x v="3"/>
    <x v="0"/>
    <x v="1"/>
    <s v="Accessories"/>
    <x v="16"/>
    <x v="40"/>
    <n v="1"/>
    <n v="0.1"/>
    <x v="777"/>
    <x v="3"/>
    <x v="8"/>
    <x v="1"/>
  </r>
  <r>
    <x v="779"/>
    <x v="479"/>
    <x v="30"/>
    <x v="15"/>
    <x v="11"/>
    <x v="2"/>
    <x v="4"/>
    <s v="Storage"/>
    <x v="14"/>
    <x v="87"/>
    <n v="4"/>
    <n v="0.1"/>
    <x v="778"/>
    <x v="0"/>
    <x v="4"/>
    <x v="2"/>
  </r>
  <r>
    <x v="780"/>
    <x v="291"/>
    <x v="1"/>
    <x v="3"/>
    <x v="3"/>
    <x v="0"/>
    <x v="4"/>
    <s v="Tables"/>
    <x v="7"/>
    <x v="194"/>
    <n v="6"/>
    <n v="0.1"/>
    <x v="779"/>
    <x v="2"/>
    <x v="2"/>
    <x v="1"/>
  </r>
  <r>
    <x v="781"/>
    <x v="480"/>
    <x v="154"/>
    <x v="14"/>
    <x v="10"/>
    <x v="0"/>
    <x v="1"/>
    <s v="Accessories"/>
    <x v="2"/>
    <x v="253"/>
    <n v="5"/>
    <n v="0"/>
    <x v="780"/>
    <x v="1"/>
    <x v="8"/>
    <x v="1"/>
  </r>
  <r>
    <x v="782"/>
    <x v="481"/>
    <x v="273"/>
    <x v="10"/>
    <x v="8"/>
    <x v="3"/>
    <x v="1"/>
    <s v="Laptops"/>
    <x v="17"/>
    <x v="310"/>
    <n v="5"/>
    <n v="0.1"/>
    <x v="781"/>
    <x v="1"/>
    <x v="1"/>
    <x v="2"/>
  </r>
  <r>
    <x v="783"/>
    <x v="399"/>
    <x v="103"/>
    <x v="0"/>
    <x v="0"/>
    <x v="0"/>
    <x v="0"/>
    <s v="Cooling"/>
    <x v="13"/>
    <x v="189"/>
    <n v="3"/>
    <n v="0.1"/>
    <x v="782"/>
    <x v="3"/>
    <x v="9"/>
    <x v="1"/>
  </r>
  <r>
    <x v="784"/>
    <x v="482"/>
    <x v="263"/>
    <x v="14"/>
    <x v="10"/>
    <x v="0"/>
    <x v="1"/>
    <s v="Accessories"/>
    <x v="16"/>
    <x v="21"/>
    <n v="4"/>
    <n v="0.05"/>
    <x v="783"/>
    <x v="1"/>
    <x v="9"/>
    <x v="1"/>
  </r>
  <r>
    <x v="785"/>
    <x v="423"/>
    <x v="84"/>
    <x v="12"/>
    <x v="9"/>
    <x v="0"/>
    <x v="0"/>
    <s v="Cleaning"/>
    <x v="0"/>
    <x v="190"/>
    <n v="1"/>
    <n v="0.05"/>
    <x v="784"/>
    <x v="2"/>
    <x v="2"/>
    <x v="1"/>
  </r>
  <r>
    <x v="786"/>
    <x v="406"/>
    <x v="236"/>
    <x v="1"/>
    <x v="1"/>
    <x v="1"/>
    <x v="0"/>
    <s v="Kitchen"/>
    <x v="18"/>
    <x v="6"/>
    <n v="1"/>
    <n v="0.1"/>
    <x v="785"/>
    <x v="4"/>
    <x v="6"/>
    <x v="1"/>
  </r>
  <r>
    <x v="787"/>
    <x v="133"/>
    <x v="101"/>
    <x v="8"/>
    <x v="6"/>
    <x v="4"/>
    <x v="0"/>
    <s v="Cleaning"/>
    <x v="0"/>
    <x v="28"/>
    <n v="3"/>
    <n v="0.05"/>
    <x v="786"/>
    <x v="2"/>
    <x v="6"/>
    <x v="0"/>
  </r>
  <r>
    <x v="788"/>
    <x v="355"/>
    <x v="236"/>
    <x v="9"/>
    <x v="7"/>
    <x v="2"/>
    <x v="4"/>
    <s v="Storage"/>
    <x v="14"/>
    <x v="181"/>
    <n v="5"/>
    <n v="0.1"/>
    <x v="787"/>
    <x v="3"/>
    <x v="8"/>
    <x v="0"/>
  </r>
  <r>
    <x v="789"/>
    <x v="475"/>
    <x v="156"/>
    <x v="11"/>
    <x v="3"/>
    <x v="0"/>
    <x v="0"/>
    <s v="Kitchen"/>
    <x v="8"/>
    <x v="308"/>
    <n v="1"/>
    <n v="0.1"/>
    <x v="788"/>
    <x v="2"/>
    <x v="9"/>
    <x v="0"/>
  </r>
  <r>
    <x v="790"/>
    <x v="98"/>
    <x v="274"/>
    <x v="11"/>
    <x v="3"/>
    <x v="0"/>
    <x v="1"/>
    <s v="Laptops"/>
    <x v="19"/>
    <x v="281"/>
    <n v="2"/>
    <n v="0.15"/>
    <x v="789"/>
    <x v="0"/>
    <x v="3"/>
    <x v="0"/>
  </r>
  <r>
    <x v="791"/>
    <x v="483"/>
    <x v="275"/>
    <x v="1"/>
    <x v="1"/>
    <x v="1"/>
    <x v="4"/>
    <s v="Storage"/>
    <x v="14"/>
    <x v="181"/>
    <n v="5"/>
    <n v="0.1"/>
    <x v="790"/>
    <x v="1"/>
    <x v="2"/>
    <x v="2"/>
  </r>
  <r>
    <x v="792"/>
    <x v="484"/>
    <x v="105"/>
    <x v="11"/>
    <x v="3"/>
    <x v="0"/>
    <x v="4"/>
    <s v="Chairs"/>
    <x v="10"/>
    <x v="158"/>
    <n v="5"/>
    <n v="0.1"/>
    <x v="791"/>
    <x v="3"/>
    <x v="9"/>
    <x v="1"/>
  </r>
  <r>
    <x v="793"/>
    <x v="476"/>
    <x v="195"/>
    <x v="14"/>
    <x v="10"/>
    <x v="0"/>
    <x v="0"/>
    <s v="Kitchen"/>
    <x v="18"/>
    <x v="83"/>
    <n v="3"/>
    <n v="0.15"/>
    <x v="792"/>
    <x v="2"/>
    <x v="3"/>
    <x v="0"/>
  </r>
  <r>
    <x v="794"/>
    <x v="287"/>
    <x v="189"/>
    <x v="13"/>
    <x v="3"/>
    <x v="0"/>
    <x v="2"/>
    <s v="Women"/>
    <x v="3"/>
    <x v="125"/>
    <n v="5"/>
    <n v="0"/>
    <x v="793"/>
    <x v="3"/>
    <x v="6"/>
    <x v="1"/>
  </r>
  <r>
    <x v="795"/>
    <x v="403"/>
    <x v="90"/>
    <x v="4"/>
    <x v="3"/>
    <x v="0"/>
    <x v="2"/>
    <s v="Men"/>
    <x v="11"/>
    <x v="200"/>
    <n v="5"/>
    <n v="0.05"/>
    <x v="794"/>
    <x v="0"/>
    <x v="8"/>
    <x v="0"/>
  </r>
  <r>
    <x v="796"/>
    <x v="485"/>
    <x v="276"/>
    <x v="7"/>
    <x v="5"/>
    <x v="1"/>
    <x v="1"/>
    <s v="Mobiles"/>
    <x v="1"/>
    <x v="109"/>
    <n v="2"/>
    <n v="0.05"/>
    <x v="795"/>
    <x v="0"/>
    <x v="4"/>
    <x v="1"/>
  </r>
  <r>
    <x v="797"/>
    <x v="486"/>
    <x v="277"/>
    <x v="15"/>
    <x v="11"/>
    <x v="2"/>
    <x v="2"/>
    <s v="Men"/>
    <x v="11"/>
    <x v="5"/>
    <n v="3"/>
    <n v="0.1"/>
    <x v="796"/>
    <x v="3"/>
    <x v="5"/>
    <x v="1"/>
  </r>
  <r>
    <x v="798"/>
    <x v="487"/>
    <x v="65"/>
    <x v="12"/>
    <x v="9"/>
    <x v="0"/>
    <x v="3"/>
    <s v="Organizers"/>
    <x v="20"/>
    <x v="219"/>
    <n v="4"/>
    <n v="0.15"/>
    <x v="797"/>
    <x v="1"/>
    <x v="0"/>
    <x v="0"/>
  </r>
  <r>
    <x v="799"/>
    <x v="488"/>
    <x v="82"/>
    <x v="5"/>
    <x v="4"/>
    <x v="3"/>
    <x v="0"/>
    <s v="Cleaning"/>
    <x v="0"/>
    <x v="180"/>
    <n v="2"/>
    <n v="0.15"/>
    <x v="798"/>
    <x v="3"/>
    <x v="0"/>
    <x v="1"/>
  </r>
  <r>
    <x v="800"/>
    <x v="489"/>
    <x v="194"/>
    <x v="10"/>
    <x v="8"/>
    <x v="3"/>
    <x v="3"/>
    <s v="Paper"/>
    <x v="12"/>
    <x v="262"/>
    <n v="6"/>
    <n v="0.05"/>
    <x v="799"/>
    <x v="2"/>
    <x v="4"/>
    <x v="0"/>
  </r>
  <r>
    <x v="801"/>
    <x v="33"/>
    <x v="247"/>
    <x v="9"/>
    <x v="7"/>
    <x v="2"/>
    <x v="0"/>
    <s v="Kitchen"/>
    <x v="8"/>
    <x v="42"/>
    <n v="5"/>
    <n v="0"/>
    <x v="800"/>
    <x v="1"/>
    <x v="5"/>
    <x v="1"/>
  </r>
  <r>
    <x v="802"/>
    <x v="490"/>
    <x v="107"/>
    <x v="3"/>
    <x v="3"/>
    <x v="0"/>
    <x v="2"/>
    <s v="Men"/>
    <x v="11"/>
    <x v="22"/>
    <n v="4"/>
    <n v="0.1"/>
    <x v="801"/>
    <x v="3"/>
    <x v="7"/>
    <x v="2"/>
  </r>
  <r>
    <x v="803"/>
    <x v="491"/>
    <x v="248"/>
    <x v="4"/>
    <x v="3"/>
    <x v="0"/>
    <x v="1"/>
    <s v="Mobiles"/>
    <x v="1"/>
    <x v="90"/>
    <n v="5"/>
    <n v="0.15"/>
    <x v="802"/>
    <x v="2"/>
    <x v="0"/>
    <x v="1"/>
  </r>
  <r>
    <x v="804"/>
    <x v="3"/>
    <x v="220"/>
    <x v="14"/>
    <x v="10"/>
    <x v="0"/>
    <x v="1"/>
    <s v="Accessories"/>
    <x v="16"/>
    <x v="57"/>
    <n v="1"/>
    <n v="0"/>
    <x v="803"/>
    <x v="4"/>
    <x v="5"/>
    <x v="1"/>
  </r>
  <r>
    <x v="805"/>
    <x v="368"/>
    <x v="176"/>
    <x v="3"/>
    <x v="3"/>
    <x v="0"/>
    <x v="0"/>
    <s v="Cleaning"/>
    <x v="0"/>
    <x v="190"/>
    <n v="1"/>
    <n v="0.05"/>
    <x v="804"/>
    <x v="1"/>
    <x v="4"/>
    <x v="2"/>
  </r>
  <r>
    <x v="806"/>
    <x v="492"/>
    <x v="72"/>
    <x v="8"/>
    <x v="6"/>
    <x v="4"/>
    <x v="4"/>
    <s v="Storage"/>
    <x v="14"/>
    <x v="274"/>
    <n v="1"/>
    <n v="0.05"/>
    <x v="805"/>
    <x v="0"/>
    <x v="7"/>
    <x v="1"/>
  </r>
  <r>
    <x v="807"/>
    <x v="493"/>
    <x v="278"/>
    <x v="7"/>
    <x v="5"/>
    <x v="1"/>
    <x v="4"/>
    <s v="Storage"/>
    <x v="14"/>
    <x v="247"/>
    <n v="4"/>
    <n v="0.05"/>
    <x v="806"/>
    <x v="3"/>
    <x v="0"/>
    <x v="0"/>
  </r>
  <r>
    <x v="808"/>
    <x v="456"/>
    <x v="195"/>
    <x v="9"/>
    <x v="7"/>
    <x v="2"/>
    <x v="1"/>
    <s v="Laptops"/>
    <x v="17"/>
    <x v="223"/>
    <n v="4"/>
    <n v="0.1"/>
    <x v="807"/>
    <x v="1"/>
    <x v="7"/>
    <x v="0"/>
  </r>
  <r>
    <x v="809"/>
    <x v="138"/>
    <x v="115"/>
    <x v="3"/>
    <x v="3"/>
    <x v="0"/>
    <x v="0"/>
    <s v="Cooling"/>
    <x v="13"/>
    <x v="86"/>
    <n v="3"/>
    <n v="0"/>
    <x v="808"/>
    <x v="1"/>
    <x v="0"/>
    <x v="2"/>
  </r>
  <r>
    <x v="810"/>
    <x v="455"/>
    <x v="122"/>
    <x v="14"/>
    <x v="10"/>
    <x v="0"/>
    <x v="1"/>
    <s v="Accessories"/>
    <x v="16"/>
    <x v="77"/>
    <n v="3"/>
    <n v="0.15"/>
    <x v="809"/>
    <x v="0"/>
    <x v="6"/>
    <x v="1"/>
  </r>
  <r>
    <x v="811"/>
    <x v="177"/>
    <x v="238"/>
    <x v="6"/>
    <x v="1"/>
    <x v="1"/>
    <x v="4"/>
    <s v="Chairs"/>
    <x v="9"/>
    <x v="305"/>
    <n v="1"/>
    <n v="0.1"/>
    <x v="810"/>
    <x v="3"/>
    <x v="1"/>
    <x v="1"/>
  </r>
  <r>
    <x v="812"/>
    <x v="92"/>
    <x v="166"/>
    <x v="2"/>
    <x v="2"/>
    <x v="2"/>
    <x v="2"/>
    <s v="Women"/>
    <x v="4"/>
    <x v="66"/>
    <n v="6"/>
    <n v="0.05"/>
    <x v="811"/>
    <x v="0"/>
    <x v="0"/>
    <x v="0"/>
  </r>
  <r>
    <x v="813"/>
    <x v="494"/>
    <x v="184"/>
    <x v="8"/>
    <x v="6"/>
    <x v="4"/>
    <x v="1"/>
    <s v="Mobiles"/>
    <x v="6"/>
    <x v="311"/>
    <n v="4"/>
    <n v="0.1"/>
    <x v="812"/>
    <x v="0"/>
    <x v="8"/>
    <x v="1"/>
  </r>
  <r>
    <x v="814"/>
    <x v="230"/>
    <x v="39"/>
    <x v="15"/>
    <x v="11"/>
    <x v="2"/>
    <x v="4"/>
    <s v="Chairs"/>
    <x v="9"/>
    <x v="287"/>
    <n v="1"/>
    <n v="0.05"/>
    <x v="813"/>
    <x v="3"/>
    <x v="5"/>
    <x v="1"/>
  </r>
  <r>
    <x v="815"/>
    <x v="83"/>
    <x v="151"/>
    <x v="9"/>
    <x v="7"/>
    <x v="2"/>
    <x v="3"/>
    <s v="Paper"/>
    <x v="12"/>
    <x v="169"/>
    <n v="4"/>
    <n v="0.15"/>
    <x v="814"/>
    <x v="1"/>
    <x v="8"/>
    <x v="2"/>
  </r>
  <r>
    <x v="816"/>
    <x v="141"/>
    <x v="250"/>
    <x v="6"/>
    <x v="1"/>
    <x v="1"/>
    <x v="4"/>
    <s v="Chairs"/>
    <x v="10"/>
    <x v="160"/>
    <n v="1"/>
    <n v="0.1"/>
    <x v="815"/>
    <x v="4"/>
    <x v="6"/>
    <x v="1"/>
  </r>
  <r>
    <x v="817"/>
    <x v="49"/>
    <x v="44"/>
    <x v="2"/>
    <x v="2"/>
    <x v="2"/>
    <x v="1"/>
    <s v="Accessories"/>
    <x v="2"/>
    <x v="98"/>
    <n v="5"/>
    <n v="0.05"/>
    <x v="816"/>
    <x v="0"/>
    <x v="1"/>
    <x v="2"/>
  </r>
  <r>
    <x v="818"/>
    <x v="361"/>
    <x v="85"/>
    <x v="9"/>
    <x v="7"/>
    <x v="2"/>
    <x v="1"/>
    <s v="Laptops"/>
    <x v="19"/>
    <x v="270"/>
    <n v="1"/>
    <n v="0.05"/>
    <x v="817"/>
    <x v="2"/>
    <x v="5"/>
    <x v="1"/>
  </r>
  <r>
    <x v="819"/>
    <x v="495"/>
    <x v="279"/>
    <x v="8"/>
    <x v="6"/>
    <x v="4"/>
    <x v="0"/>
    <s v="Cleaning"/>
    <x v="0"/>
    <x v="299"/>
    <n v="4"/>
    <n v="0.1"/>
    <x v="818"/>
    <x v="3"/>
    <x v="5"/>
    <x v="1"/>
  </r>
  <r>
    <x v="820"/>
    <x v="496"/>
    <x v="6"/>
    <x v="4"/>
    <x v="3"/>
    <x v="0"/>
    <x v="3"/>
    <s v="Paper"/>
    <x v="12"/>
    <x v="39"/>
    <n v="3"/>
    <n v="0.15"/>
    <x v="819"/>
    <x v="0"/>
    <x v="6"/>
    <x v="0"/>
  </r>
  <r>
    <x v="821"/>
    <x v="347"/>
    <x v="94"/>
    <x v="2"/>
    <x v="2"/>
    <x v="2"/>
    <x v="0"/>
    <s v="Cooling"/>
    <x v="13"/>
    <x v="105"/>
    <n v="6"/>
    <n v="0"/>
    <x v="820"/>
    <x v="0"/>
    <x v="8"/>
    <x v="2"/>
  </r>
  <r>
    <x v="822"/>
    <x v="497"/>
    <x v="235"/>
    <x v="6"/>
    <x v="1"/>
    <x v="1"/>
    <x v="3"/>
    <s v="Paper"/>
    <x v="12"/>
    <x v="39"/>
    <n v="3"/>
    <n v="0.15"/>
    <x v="821"/>
    <x v="4"/>
    <x v="3"/>
    <x v="2"/>
  </r>
  <r>
    <x v="823"/>
    <x v="224"/>
    <x v="8"/>
    <x v="12"/>
    <x v="9"/>
    <x v="0"/>
    <x v="1"/>
    <s v="Accessories"/>
    <x v="16"/>
    <x v="143"/>
    <n v="6"/>
    <n v="0"/>
    <x v="822"/>
    <x v="4"/>
    <x v="9"/>
    <x v="2"/>
  </r>
  <r>
    <x v="824"/>
    <x v="193"/>
    <x v="149"/>
    <x v="8"/>
    <x v="6"/>
    <x v="4"/>
    <x v="0"/>
    <s v="Cooling"/>
    <x v="13"/>
    <x v="46"/>
    <n v="6"/>
    <n v="0.15"/>
    <x v="823"/>
    <x v="4"/>
    <x v="8"/>
    <x v="0"/>
  </r>
  <r>
    <x v="825"/>
    <x v="71"/>
    <x v="249"/>
    <x v="11"/>
    <x v="3"/>
    <x v="0"/>
    <x v="4"/>
    <s v="Chairs"/>
    <x v="9"/>
    <x v="206"/>
    <n v="2"/>
    <n v="0.05"/>
    <x v="824"/>
    <x v="3"/>
    <x v="1"/>
    <x v="1"/>
  </r>
  <r>
    <x v="826"/>
    <x v="438"/>
    <x v="117"/>
    <x v="10"/>
    <x v="8"/>
    <x v="3"/>
    <x v="2"/>
    <s v="Men"/>
    <x v="21"/>
    <x v="175"/>
    <n v="2"/>
    <n v="0.05"/>
    <x v="825"/>
    <x v="3"/>
    <x v="3"/>
    <x v="1"/>
  </r>
  <r>
    <x v="827"/>
    <x v="459"/>
    <x v="280"/>
    <x v="3"/>
    <x v="3"/>
    <x v="0"/>
    <x v="1"/>
    <s v="Accessories"/>
    <x v="16"/>
    <x v="34"/>
    <n v="2"/>
    <n v="0.05"/>
    <x v="826"/>
    <x v="3"/>
    <x v="8"/>
    <x v="0"/>
  </r>
  <r>
    <x v="828"/>
    <x v="223"/>
    <x v="60"/>
    <x v="4"/>
    <x v="3"/>
    <x v="0"/>
    <x v="3"/>
    <s v="Stationery"/>
    <x v="15"/>
    <x v="18"/>
    <n v="3"/>
    <n v="0.05"/>
    <x v="827"/>
    <x v="1"/>
    <x v="1"/>
    <x v="0"/>
  </r>
  <r>
    <x v="829"/>
    <x v="138"/>
    <x v="129"/>
    <x v="7"/>
    <x v="5"/>
    <x v="1"/>
    <x v="1"/>
    <s v="Laptops"/>
    <x v="19"/>
    <x v="43"/>
    <n v="6"/>
    <n v="0.05"/>
    <x v="828"/>
    <x v="2"/>
    <x v="6"/>
    <x v="0"/>
  </r>
  <r>
    <x v="830"/>
    <x v="51"/>
    <x v="265"/>
    <x v="14"/>
    <x v="10"/>
    <x v="0"/>
    <x v="0"/>
    <s v="Kitchen"/>
    <x v="18"/>
    <x v="36"/>
    <n v="5"/>
    <n v="0.15"/>
    <x v="829"/>
    <x v="3"/>
    <x v="5"/>
    <x v="1"/>
  </r>
  <r>
    <x v="831"/>
    <x v="35"/>
    <x v="48"/>
    <x v="6"/>
    <x v="1"/>
    <x v="1"/>
    <x v="0"/>
    <s v="Cleaning"/>
    <x v="0"/>
    <x v="23"/>
    <n v="4"/>
    <n v="0"/>
    <x v="830"/>
    <x v="2"/>
    <x v="3"/>
    <x v="0"/>
  </r>
  <r>
    <x v="832"/>
    <x v="498"/>
    <x v="56"/>
    <x v="3"/>
    <x v="3"/>
    <x v="0"/>
    <x v="3"/>
    <s v="Stationery"/>
    <x v="15"/>
    <x v="172"/>
    <n v="3"/>
    <n v="0.15"/>
    <x v="831"/>
    <x v="3"/>
    <x v="2"/>
    <x v="2"/>
  </r>
  <r>
    <x v="833"/>
    <x v="407"/>
    <x v="135"/>
    <x v="10"/>
    <x v="8"/>
    <x v="3"/>
    <x v="1"/>
    <s v="Laptops"/>
    <x v="19"/>
    <x v="100"/>
    <n v="1"/>
    <n v="0.15"/>
    <x v="832"/>
    <x v="2"/>
    <x v="4"/>
    <x v="1"/>
  </r>
  <r>
    <x v="834"/>
    <x v="499"/>
    <x v="228"/>
    <x v="15"/>
    <x v="11"/>
    <x v="2"/>
    <x v="0"/>
    <s v="Kitchen"/>
    <x v="18"/>
    <x v="54"/>
    <n v="6"/>
    <n v="0"/>
    <x v="833"/>
    <x v="3"/>
    <x v="4"/>
    <x v="1"/>
  </r>
  <r>
    <x v="835"/>
    <x v="335"/>
    <x v="2"/>
    <x v="3"/>
    <x v="3"/>
    <x v="0"/>
    <x v="1"/>
    <s v="Mobiles"/>
    <x v="6"/>
    <x v="227"/>
    <n v="3"/>
    <n v="0"/>
    <x v="834"/>
    <x v="2"/>
    <x v="5"/>
    <x v="1"/>
  </r>
  <r>
    <x v="836"/>
    <x v="321"/>
    <x v="142"/>
    <x v="14"/>
    <x v="10"/>
    <x v="0"/>
    <x v="3"/>
    <s v="Organizers"/>
    <x v="20"/>
    <x v="209"/>
    <n v="4"/>
    <n v="0.05"/>
    <x v="835"/>
    <x v="3"/>
    <x v="8"/>
    <x v="0"/>
  </r>
  <r>
    <x v="837"/>
    <x v="500"/>
    <x v="82"/>
    <x v="15"/>
    <x v="11"/>
    <x v="2"/>
    <x v="1"/>
    <s v="Mobiles"/>
    <x v="1"/>
    <x v="1"/>
    <n v="6"/>
    <n v="0.05"/>
    <x v="836"/>
    <x v="0"/>
    <x v="1"/>
    <x v="1"/>
  </r>
  <r>
    <x v="838"/>
    <x v="140"/>
    <x v="15"/>
    <x v="0"/>
    <x v="0"/>
    <x v="0"/>
    <x v="0"/>
    <s v="Kitchen"/>
    <x v="18"/>
    <x v="98"/>
    <n v="5"/>
    <n v="0.05"/>
    <x v="837"/>
    <x v="2"/>
    <x v="8"/>
    <x v="0"/>
  </r>
  <r>
    <x v="839"/>
    <x v="501"/>
    <x v="116"/>
    <x v="7"/>
    <x v="5"/>
    <x v="1"/>
    <x v="1"/>
    <s v="Mobiles"/>
    <x v="1"/>
    <x v="227"/>
    <n v="4"/>
    <n v="0.05"/>
    <x v="838"/>
    <x v="2"/>
    <x v="1"/>
    <x v="0"/>
  </r>
  <r>
    <x v="840"/>
    <x v="401"/>
    <x v="150"/>
    <x v="1"/>
    <x v="1"/>
    <x v="1"/>
    <x v="1"/>
    <s v="Mobiles"/>
    <x v="1"/>
    <x v="80"/>
    <n v="3"/>
    <n v="0.1"/>
    <x v="839"/>
    <x v="1"/>
    <x v="3"/>
    <x v="1"/>
  </r>
  <r>
    <x v="841"/>
    <x v="502"/>
    <x v="27"/>
    <x v="10"/>
    <x v="8"/>
    <x v="3"/>
    <x v="3"/>
    <s v="Organizers"/>
    <x v="20"/>
    <x v="149"/>
    <n v="3"/>
    <n v="0.1"/>
    <x v="840"/>
    <x v="1"/>
    <x v="1"/>
    <x v="2"/>
  </r>
  <r>
    <x v="842"/>
    <x v="321"/>
    <x v="281"/>
    <x v="5"/>
    <x v="4"/>
    <x v="3"/>
    <x v="0"/>
    <s v="Kitchen"/>
    <x v="18"/>
    <x v="170"/>
    <n v="6"/>
    <n v="0.15"/>
    <x v="841"/>
    <x v="1"/>
    <x v="8"/>
    <x v="0"/>
  </r>
  <r>
    <x v="843"/>
    <x v="97"/>
    <x v="128"/>
    <x v="10"/>
    <x v="8"/>
    <x v="3"/>
    <x v="2"/>
    <s v="Women"/>
    <x v="3"/>
    <x v="142"/>
    <n v="1"/>
    <n v="0"/>
    <x v="842"/>
    <x v="1"/>
    <x v="7"/>
    <x v="0"/>
  </r>
  <r>
    <x v="844"/>
    <x v="120"/>
    <x v="20"/>
    <x v="2"/>
    <x v="2"/>
    <x v="2"/>
    <x v="2"/>
    <s v="Women"/>
    <x v="4"/>
    <x v="98"/>
    <n v="5"/>
    <n v="0.05"/>
    <x v="843"/>
    <x v="4"/>
    <x v="0"/>
    <x v="2"/>
  </r>
  <r>
    <x v="845"/>
    <x v="169"/>
    <x v="271"/>
    <x v="8"/>
    <x v="6"/>
    <x v="4"/>
    <x v="2"/>
    <s v="Men"/>
    <x v="21"/>
    <x v="15"/>
    <n v="6"/>
    <n v="0"/>
    <x v="844"/>
    <x v="2"/>
    <x v="2"/>
    <x v="0"/>
  </r>
  <r>
    <x v="846"/>
    <x v="503"/>
    <x v="253"/>
    <x v="13"/>
    <x v="3"/>
    <x v="0"/>
    <x v="0"/>
    <s v="Cooling"/>
    <x v="13"/>
    <x v="218"/>
    <n v="5"/>
    <n v="0"/>
    <x v="845"/>
    <x v="0"/>
    <x v="3"/>
    <x v="2"/>
  </r>
  <r>
    <x v="847"/>
    <x v="67"/>
    <x v="138"/>
    <x v="12"/>
    <x v="9"/>
    <x v="0"/>
    <x v="2"/>
    <s v="Women"/>
    <x v="4"/>
    <x v="2"/>
    <n v="3"/>
    <n v="0.05"/>
    <x v="846"/>
    <x v="1"/>
    <x v="8"/>
    <x v="0"/>
  </r>
  <r>
    <x v="848"/>
    <x v="138"/>
    <x v="46"/>
    <x v="14"/>
    <x v="10"/>
    <x v="0"/>
    <x v="3"/>
    <s v="Organizers"/>
    <x v="20"/>
    <x v="82"/>
    <n v="2"/>
    <n v="0.1"/>
    <x v="847"/>
    <x v="3"/>
    <x v="4"/>
    <x v="0"/>
  </r>
  <r>
    <x v="849"/>
    <x v="504"/>
    <x v="219"/>
    <x v="12"/>
    <x v="9"/>
    <x v="0"/>
    <x v="2"/>
    <s v="Men"/>
    <x v="11"/>
    <x v="106"/>
    <n v="5"/>
    <n v="0"/>
    <x v="848"/>
    <x v="0"/>
    <x v="8"/>
    <x v="1"/>
  </r>
  <r>
    <x v="850"/>
    <x v="183"/>
    <x v="209"/>
    <x v="0"/>
    <x v="0"/>
    <x v="0"/>
    <x v="1"/>
    <s v="Accessories"/>
    <x v="2"/>
    <x v="41"/>
    <n v="2"/>
    <n v="0.1"/>
    <x v="849"/>
    <x v="0"/>
    <x v="8"/>
    <x v="2"/>
  </r>
  <r>
    <x v="851"/>
    <x v="245"/>
    <x v="121"/>
    <x v="7"/>
    <x v="5"/>
    <x v="1"/>
    <x v="0"/>
    <s v="Kitchen"/>
    <x v="8"/>
    <x v="198"/>
    <n v="2"/>
    <n v="0.05"/>
    <x v="850"/>
    <x v="1"/>
    <x v="3"/>
    <x v="2"/>
  </r>
  <r>
    <x v="852"/>
    <x v="74"/>
    <x v="81"/>
    <x v="1"/>
    <x v="1"/>
    <x v="1"/>
    <x v="0"/>
    <s v="Cleaning"/>
    <x v="0"/>
    <x v="299"/>
    <n v="4"/>
    <n v="0.1"/>
    <x v="851"/>
    <x v="0"/>
    <x v="5"/>
    <x v="2"/>
  </r>
  <r>
    <x v="853"/>
    <x v="505"/>
    <x v="219"/>
    <x v="14"/>
    <x v="10"/>
    <x v="0"/>
    <x v="4"/>
    <s v="Chairs"/>
    <x v="10"/>
    <x v="56"/>
    <n v="2"/>
    <n v="0.1"/>
    <x v="852"/>
    <x v="1"/>
    <x v="6"/>
    <x v="2"/>
  </r>
  <r>
    <x v="854"/>
    <x v="34"/>
    <x v="267"/>
    <x v="12"/>
    <x v="9"/>
    <x v="0"/>
    <x v="0"/>
    <s v="Cleaning"/>
    <x v="0"/>
    <x v="38"/>
    <n v="5"/>
    <n v="0.15"/>
    <x v="853"/>
    <x v="2"/>
    <x v="4"/>
    <x v="1"/>
  </r>
  <r>
    <x v="855"/>
    <x v="506"/>
    <x v="249"/>
    <x v="4"/>
    <x v="3"/>
    <x v="0"/>
    <x v="2"/>
    <s v="Women"/>
    <x v="4"/>
    <x v="2"/>
    <n v="3"/>
    <n v="0.05"/>
    <x v="854"/>
    <x v="3"/>
    <x v="2"/>
    <x v="0"/>
  </r>
  <r>
    <x v="856"/>
    <x v="507"/>
    <x v="269"/>
    <x v="11"/>
    <x v="3"/>
    <x v="0"/>
    <x v="0"/>
    <s v="Cleaning"/>
    <x v="0"/>
    <x v="180"/>
    <n v="2"/>
    <n v="0.15"/>
    <x v="855"/>
    <x v="2"/>
    <x v="3"/>
    <x v="0"/>
  </r>
  <r>
    <x v="857"/>
    <x v="467"/>
    <x v="266"/>
    <x v="10"/>
    <x v="8"/>
    <x v="3"/>
    <x v="0"/>
    <s v="Cleaning"/>
    <x v="0"/>
    <x v="312"/>
    <n v="3"/>
    <n v="0.1"/>
    <x v="856"/>
    <x v="0"/>
    <x v="1"/>
    <x v="0"/>
  </r>
  <r>
    <x v="858"/>
    <x v="508"/>
    <x v="202"/>
    <x v="2"/>
    <x v="2"/>
    <x v="2"/>
    <x v="1"/>
    <s v="Mobiles"/>
    <x v="1"/>
    <x v="313"/>
    <n v="1"/>
    <n v="0.05"/>
    <x v="857"/>
    <x v="0"/>
    <x v="6"/>
    <x v="2"/>
  </r>
  <r>
    <x v="859"/>
    <x v="113"/>
    <x v="22"/>
    <x v="3"/>
    <x v="3"/>
    <x v="0"/>
    <x v="1"/>
    <s v="Accessories"/>
    <x v="2"/>
    <x v="22"/>
    <n v="6"/>
    <n v="0.2"/>
    <x v="858"/>
    <x v="0"/>
    <x v="5"/>
    <x v="0"/>
  </r>
  <r>
    <x v="860"/>
    <x v="470"/>
    <x v="264"/>
    <x v="5"/>
    <x v="4"/>
    <x v="3"/>
    <x v="3"/>
    <s v="Paper"/>
    <x v="12"/>
    <x v="254"/>
    <n v="2"/>
    <n v="0"/>
    <x v="859"/>
    <x v="4"/>
    <x v="7"/>
    <x v="2"/>
  </r>
  <r>
    <x v="861"/>
    <x v="509"/>
    <x v="236"/>
    <x v="11"/>
    <x v="3"/>
    <x v="0"/>
    <x v="3"/>
    <s v="Stationery"/>
    <x v="5"/>
    <x v="77"/>
    <n v="6"/>
    <n v="0.15"/>
    <x v="860"/>
    <x v="4"/>
    <x v="3"/>
    <x v="2"/>
  </r>
  <r>
    <x v="862"/>
    <x v="446"/>
    <x v="20"/>
    <x v="8"/>
    <x v="6"/>
    <x v="4"/>
    <x v="4"/>
    <s v="Chairs"/>
    <x v="9"/>
    <x v="305"/>
    <n v="1"/>
    <n v="0.1"/>
    <x v="861"/>
    <x v="4"/>
    <x v="6"/>
    <x v="0"/>
  </r>
  <r>
    <x v="863"/>
    <x v="296"/>
    <x v="282"/>
    <x v="5"/>
    <x v="4"/>
    <x v="3"/>
    <x v="4"/>
    <s v="Chairs"/>
    <x v="10"/>
    <x v="60"/>
    <n v="4"/>
    <n v="0.1"/>
    <x v="862"/>
    <x v="4"/>
    <x v="1"/>
    <x v="2"/>
  </r>
  <r>
    <x v="864"/>
    <x v="33"/>
    <x v="269"/>
    <x v="3"/>
    <x v="3"/>
    <x v="0"/>
    <x v="4"/>
    <s v="Tables"/>
    <x v="7"/>
    <x v="226"/>
    <n v="3"/>
    <n v="0"/>
    <x v="863"/>
    <x v="0"/>
    <x v="9"/>
    <x v="0"/>
  </r>
  <r>
    <x v="865"/>
    <x v="321"/>
    <x v="48"/>
    <x v="3"/>
    <x v="3"/>
    <x v="0"/>
    <x v="0"/>
    <s v="Cooling"/>
    <x v="13"/>
    <x v="233"/>
    <n v="2"/>
    <n v="0"/>
    <x v="864"/>
    <x v="4"/>
    <x v="8"/>
    <x v="2"/>
  </r>
  <r>
    <x v="866"/>
    <x v="54"/>
    <x v="50"/>
    <x v="5"/>
    <x v="4"/>
    <x v="3"/>
    <x v="4"/>
    <s v="Storage"/>
    <x v="14"/>
    <x v="314"/>
    <n v="4"/>
    <n v="0.2"/>
    <x v="865"/>
    <x v="3"/>
    <x v="0"/>
    <x v="1"/>
  </r>
  <r>
    <x v="867"/>
    <x v="88"/>
    <x v="140"/>
    <x v="1"/>
    <x v="1"/>
    <x v="1"/>
    <x v="4"/>
    <s v="Storage"/>
    <x v="14"/>
    <x v="315"/>
    <n v="2"/>
    <n v="0.1"/>
    <x v="866"/>
    <x v="1"/>
    <x v="1"/>
    <x v="0"/>
  </r>
  <r>
    <x v="868"/>
    <x v="135"/>
    <x v="283"/>
    <x v="0"/>
    <x v="0"/>
    <x v="0"/>
    <x v="3"/>
    <s v="Organizers"/>
    <x v="20"/>
    <x v="296"/>
    <n v="4"/>
    <n v="0.1"/>
    <x v="867"/>
    <x v="2"/>
    <x v="6"/>
    <x v="2"/>
  </r>
  <r>
    <x v="869"/>
    <x v="356"/>
    <x v="241"/>
    <x v="7"/>
    <x v="5"/>
    <x v="1"/>
    <x v="2"/>
    <s v="Women"/>
    <x v="4"/>
    <x v="66"/>
    <n v="6"/>
    <n v="0.05"/>
    <x v="868"/>
    <x v="3"/>
    <x v="1"/>
    <x v="0"/>
  </r>
  <r>
    <x v="870"/>
    <x v="338"/>
    <x v="207"/>
    <x v="12"/>
    <x v="9"/>
    <x v="0"/>
    <x v="1"/>
    <s v="Mobiles"/>
    <x v="1"/>
    <x v="197"/>
    <n v="5"/>
    <n v="0.05"/>
    <x v="869"/>
    <x v="2"/>
    <x v="8"/>
    <x v="2"/>
  </r>
  <r>
    <x v="871"/>
    <x v="222"/>
    <x v="197"/>
    <x v="11"/>
    <x v="3"/>
    <x v="0"/>
    <x v="1"/>
    <s v="Laptops"/>
    <x v="17"/>
    <x v="291"/>
    <n v="4"/>
    <n v="0.05"/>
    <x v="870"/>
    <x v="1"/>
    <x v="9"/>
    <x v="1"/>
  </r>
  <r>
    <x v="872"/>
    <x v="444"/>
    <x v="272"/>
    <x v="5"/>
    <x v="4"/>
    <x v="3"/>
    <x v="4"/>
    <s v="Storage"/>
    <x v="14"/>
    <x v="181"/>
    <n v="5"/>
    <n v="0.1"/>
    <x v="871"/>
    <x v="3"/>
    <x v="2"/>
    <x v="0"/>
  </r>
  <r>
    <x v="873"/>
    <x v="510"/>
    <x v="199"/>
    <x v="6"/>
    <x v="1"/>
    <x v="1"/>
    <x v="1"/>
    <s v="Mobiles"/>
    <x v="6"/>
    <x v="208"/>
    <n v="2"/>
    <n v="0.1"/>
    <x v="872"/>
    <x v="2"/>
    <x v="7"/>
    <x v="0"/>
  </r>
  <r>
    <x v="874"/>
    <x v="262"/>
    <x v="45"/>
    <x v="15"/>
    <x v="11"/>
    <x v="2"/>
    <x v="4"/>
    <s v="Storage"/>
    <x v="14"/>
    <x v="316"/>
    <n v="6"/>
    <n v="0.1"/>
    <x v="873"/>
    <x v="0"/>
    <x v="6"/>
    <x v="1"/>
  </r>
  <r>
    <x v="875"/>
    <x v="275"/>
    <x v="42"/>
    <x v="15"/>
    <x v="11"/>
    <x v="2"/>
    <x v="1"/>
    <s v="Accessories"/>
    <x v="16"/>
    <x v="256"/>
    <n v="3"/>
    <n v="0.1"/>
    <x v="874"/>
    <x v="2"/>
    <x v="1"/>
    <x v="1"/>
  </r>
  <r>
    <x v="876"/>
    <x v="302"/>
    <x v="102"/>
    <x v="13"/>
    <x v="3"/>
    <x v="0"/>
    <x v="4"/>
    <s v="Chairs"/>
    <x v="9"/>
    <x v="213"/>
    <n v="5"/>
    <n v="0.05"/>
    <x v="875"/>
    <x v="0"/>
    <x v="8"/>
    <x v="1"/>
  </r>
  <r>
    <x v="877"/>
    <x v="211"/>
    <x v="105"/>
    <x v="6"/>
    <x v="1"/>
    <x v="1"/>
    <x v="2"/>
    <s v="Women"/>
    <x v="3"/>
    <x v="176"/>
    <n v="6"/>
    <n v="0.1"/>
    <x v="876"/>
    <x v="4"/>
    <x v="5"/>
    <x v="1"/>
  </r>
  <r>
    <x v="878"/>
    <x v="237"/>
    <x v="214"/>
    <x v="10"/>
    <x v="8"/>
    <x v="3"/>
    <x v="0"/>
    <s v="Cooling"/>
    <x v="13"/>
    <x v="35"/>
    <n v="6"/>
    <n v="0.1"/>
    <x v="877"/>
    <x v="0"/>
    <x v="2"/>
    <x v="1"/>
  </r>
  <r>
    <x v="879"/>
    <x v="511"/>
    <x v="80"/>
    <x v="5"/>
    <x v="4"/>
    <x v="3"/>
    <x v="3"/>
    <s v="Paper"/>
    <x v="12"/>
    <x v="112"/>
    <n v="3"/>
    <n v="0"/>
    <x v="878"/>
    <x v="0"/>
    <x v="3"/>
    <x v="1"/>
  </r>
  <r>
    <x v="880"/>
    <x v="367"/>
    <x v="45"/>
    <x v="1"/>
    <x v="1"/>
    <x v="1"/>
    <x v="1"/>
    <s v="Accessories"/>
    <x v="2"/>
    <x v="66"/>
    <n v="6"/>
    <n v="0.05"/>
    <x v="879"/>
    <x v="3"/>
    <x v="3"/>
    <x v="0"/>
  </r>
  <r>
    <x v="881"/>
    <x v="512"/>
    <x v="40"/>
    <x v="1"/>
    <x v="1"/>
    <x v="1"/>
    <x v="3"/>
    <s v="Paper"/>
    <x v="12"/>
    <x v="106"/>
    <n v="5"/>
    <n v="0"/>
    <x v="880"/>
    <x v="2"/>
    <x v="4"/>
    <x v="1"/>
  </r>
  <r>
    <x v="882"/>
    <x v="513"/>
    <x v="143"/>
    <x v="10"/>
    <x v="8"/>
    <x v="3"/>
    <x v="2"/>
    <s v="Women"/>
    <x v="3"/>
    <x v="224"/>
    <n v="4"/>
    <n v="0.1"/>
    <x v="881"/>
    <x v="1"/>
    <x v="7"/>
    <x v="2"/>
  </r>
  <r>
    <x v="883"/>
    <x v="431"/>
    <x v="226"/>
    <x v="0"/>
    <x v="0"/>
    <x v="0"/>
    <x v="1"/>
    <s v="Mobiles"/>
    <x v="1"/>
    <x v="118"/>
    <n v="6"/>
    <n v="0"/>
    <x v="882"/>
    <x v="4"/>
    <x v="1"/>
    <x v="1"/>
  </r>
  <r>
    <x v="884"/>
    <x v="514"/>
    <x v="249"/>
    <x v="1"/>
    <x v="1"/>
    <x v="1"/>
    <x v="0"/>
    <s v="Cleaning"/>
    <x v="0"/>
    <x v="63"/>
    <n v="6"/>
    <n v="0.15"/>
    <x v="883"/>
    <x v="0"/>
    <x v="4"/>
    <x v="2"/>
  </r>
  <r>
    <x v="885"/>
    <x v="226"/>
    <x v="231"/>
    <x v="0"/>
    <x v="0"/>
    <x v="0"/>
    <x v="2"/>
    <s v="Men"/>
    <x v="11"/>
    <x v="112"/>
    <n v="3"/>
    <n v="0"/>
    <x v="884"/>
    <x v="0"/>
    <x v="1"/>
    <x v="2"/>
  </r>
  <r>
    <x v="886"/>
    <x v="454"/>
    <x v="265"/>
    <x v="11"/>
    <x v="3"/>
    <x v="0"/>
    <x v="2"/>
    <s v="Men"/>
    <x v="11"/>
    <x v="22"/>
    <n v="4"/>
    <n v="0.1"/>
    <x v="885"/>
    <x v="2"/>
    <x v="4"/>
    <x v="0"/>
  </r>
  <r>
    <x v="887"/>
    <x v="175"/>
    <x v="1"/>
    <x v="14"/>
    <x v="10"/>
    <x v="0"/>
    <x v="0"/>
    <s v="Cooling"/>
    <x v="13"/>
    <x v="102"/>
    <n v="4"/>
    <n v="0"/>
    <x v="886"/>
    <x v="4"/>
    <x v="0"/>
    <x v="1"/>
  </r>
  <r>
    <x v="888"/>
    <x v="272"/>
    <x v="78"/>
    <x v="4"/>
    <x v="3"/>
    <x v="0"/>
    <x v="3"/>
    <s v="Stationery"/>
    <x v="15"/>
    <x v="6"/>
    <n v="6"/>
    <n v="0.1"/>
    <x v="887"/>
    <x v="4"/>
    <x v="3"/>
    <x v="1"/>
  </r>
  <r>
    <x v="889"/>
    <x v="515"/>
    <x v="42"/>
    <x v="14"/>
    <x v="10"/>
    <x v="0"/>
    <x v="1"/>
    <s v="Accessories"/>
    <x v="16"/>
    <x v="21"/>
    <n v="4"/>
    <n v="0.05"/>
    <x v="888"/>
    <x v="1"/>
    <x v="7"/>
    <x v="0"/>
  </r>
  <r>
    <x v="890"/>
    <x v="215"/>
    <x v="221"/>
    <x v="11"/>
    <x v="3"/>
    <x v="0"/>
    <x v="1"/>
    <s v="Accessories"/>
    <x v="2"/>
    <x v="170"/>
    <n v="6"/>
    <n v="0.15"/>
    <x v="889"/>
    <x v="4"/>
    <x v="7"/>
    <x v="0"/>
  </r>
  <r>
    <x v="891"/>
    <x v="495"/>
    <x v="81"/>
    <x v="1"/>
    <x v="1"/>
    <x v="1"/>
    <x v="3"/>
    <s v="Stationery"/>
    <x v="15"/>
    <x v="133"/>
    <n v="4"/>
    <n v="0"/>
    <x v="890"/>
    <x v="2"/>
    <x v="2"/>
    <x v="0"/>
  </r>
  <r>
    <x v="892"/>
    <x v="218"/>
    <x v="100"/>
    <x v="2"/>
    <x v="2"/>
    <x v="2"/>
    <x v="2"/>
    <s v="Women"/>
    <x v="3"/>
    <x v="317"/>
    <n v="5"/>
    <n v="0.15"/>
    <x v="891"/>
    <x v="0"/>
    <x v="9"/>
    <x v="1"/>
  </r>
  <r>
    <x v="893"/>
    <x v="329"/>
    <x v="155"/>
    <x v="0"/>
    <x v="0"/>
    <x v="0"/>
    <x v="0"/>
    <s v="Kitchen"/>
    <x v="8"/>
    <x v="259"/>
    <n v="4"/>
    <n v="0"/>
    <x v="892"/>
    <x v="3"/>
    <x v="2"/>
    <x v="0"/>
  </r>
  <r>
    <x v="894"/>
    <x v="436"/>
    <x v="115"/>
    <x v="9"/>
    <x v="7"/>
    <x v="2"/>
    <x v="2"/>
    <s v="Men"/>
    <x v="21"/>
    <x v="318"/>
    <n v="5"/>
    <n v="0.15"/>
    <x v="893"/>
    <x v="1"/>
    <x v="0"/>
    <x v="2"/>
  </r>
  <r>
    <x v="895"/>
    <x v="492"/>
    <x v="229"/>
    <x v="14"/>
    <x v="10"/>
    <x v="0"/>
    <x v="4"/>
    <s v="Tables"/>
    <x v="7"/>
    <x v="179"/>
    <n v="5"/>
    <n v="0.05"/>
    <x v="894"/>
    <x v="2"/>
    <x v="2"/>
    <x v="2"/>
  </r>
  <r>
    <x v="896"/>
    <x v="138"/>
    <x v="256"/>
    <x v="12"/>
    <x v="9"/>
    <x v="0"/>
    <x v="3"/>
    <s v="Paper"/>
    <x v="12"/>
    <x v="22"/>
    <n v="4"/>
    <n v="0.1"/>
    <x v="895"/>
    <x v="1"/>
    <x v="8"/>
    <x v="2"/>
  </r>
  <r>
    <x v="897"/>
    <x v="149"/>
    <x v="114"/>
    <x v="13"/>
    <x v="3"/>
    <x v="0"/>
    <x v="3"/>
    <s v="Organizers"/>
    <x v="20"/>
    <x v="298"/>
    <n v="4"/>
    <n v="0.2"/>
    <x v="896"/>
    <x v="2"/>
    <x v="5"/>
    <x v="2"/>
  </r>
  <r>
    <x v="898"/>
    <x v="516"/>
    <x v="210"/>
    <x v="14"/>
    <x v="10"/>
    <x v="0"/>
    <x v="3"/>
    <s v="Stationery"/>
    <x v="5"/>
    <x v="19"/>
    <n v="1"/>
    <n v="0.05"/>
    <x v="897"/>
    <x v="1"/>
    <x v="2"/>
    <x v="0"/>
  </r>
  <r>
    <x v="899"/>
    <x v="240"/>
    <x v="199"/>
    <x v="11"/>
    <x v="3"/>
    <x v="0"/>
    <x v="2"/>
    <s v="Women"/>
    <x v="4"/>
    <x v="83"/>
    <n v="3"/>
    <n v="0.15"/>
    <x v="898"/>
    <x v="3"/>
    <x v="8"/>
    <x v="0"/>
  </r>
  <r>
    <x v="900"/>
    <x v="139"/>
    <x v="73"/>
    <x v="13"/>
    <x v="3"/>
    <x v="0"/>
    <x v="4"/>
    <s v="Tables"/>
    <x v="7"/>
    <x v="188"/>
    <n v="3"/>
    <n v="0.05"/>
    <x v="899"/>
    <x v="4"/>
    <x v="0"/>
    <x v="1"/>
  </r>
  <r>
    <x v="901"/>
    <x v="369"/>
    <x v="24"/>
    <x v="9"/>
    <x v="7"/>
    <x v="2"/>
    <x v="4"/>
    <s v="Chairs"/>
    <x v="9"/>
    <x v="189"/>
    <n v="5"/>
    <n v="0.1"/>
    <x v="900"/>
    <x v="4"/>
    <x v="5"/>
    <x v="1"/>
  </r>
  <r>
    <x v="902"/>
    <x v="517"/>
    <x v="234"/>
    <x v="12"/>
    <x v="9"/>
    <x v="0"/>
    <x v="4"/>
    <s v="Tables"/>
    <x v="7"/>
    <x v="293"/>
    <n v="2"/>
    <n v="0.05"/>
    <x v="901"/>
    <x v="4"/>
    <x v="3"/>
    <x v="1"/>
  </r>
  <r>
    <x v="903"/>
    <x v="137"/>
    <x v="131"/>
    <x v="8"/>
    <x v="6"/>
    <x v="4"/>
    <x v="3"/>
    <s v="Stationery"/>
    <x v="15"/>
    <x v="34"/>
    <n v="6"/>
    <n v="0.05"/>
    <x v="902"/>
    <x v="3"/>
    <x v="9"/>
    <x v="0"/>
  </r>
  <r>
    <x v="904"/>
    <x v="329"/>
    <x v="24"/>
    <x v="6"/>
    <x v="1"/>
    <x v="1"/>
    <x v="0"/>
    <s v="Cleaning"/>
    <x v="0"/>
    <x v="299"/>
    <n v="4"/>
    <n v="0.1"/>
    <x v="903"/>
    <x v="3"/>
    <x v="2"/>
    <x v="0"/>
  </r>
  <r>
    <x v="905"/>
    <x v="201"/>
    <x v="165"/>
    <x v="3"/>
    <x v="3"/>
    <x v="0"/>
    <x v="1"/>
    <s v="Accessories"/>
    <x v="16"/>
    <x v="319"/>
    <n v="5"/>
    <n v="0"/>
    <x v="904"/>
    <x v="1"/>
    <x v="2"/>
    <x v="2"/>
  </r>
  <r>
    <x v="906"/>
    <x v="63"/>
    <x v="142"/>
    <x v="0"/>
    <x v="0"/>
    <x v="0"/>
    <x v="0"/>
    <s v="Kitchen"/>
    <x v="8"/>
    <x v="178"/>
    <n v="2"/>
    <n v="0.1"/>
    <x v="905"/>
    <x v="0"/>
    <x v="8"/>
    <x v="2"/>
  </r>
  <r>
    <x v="907"/>
    <x v="433"/>
    <x v="125"/>
    <x v="12"/>
    <x v="9"/>
    <x v="0"/>
    <x v="4"/>
    <s v="Tables"/>
    <x v="7"/>
    <x v="8"/>
    <n v="5"/>
    <n v="0.1"/>
    <x v="906"/>
    <x v="2"/>
    <x v="8"/>
    <x v="0"/>
  </r>
  <r>
    <x v="908"/>
    <x v="518"/>
    <x v="211"/>
    <x v="9"/>
    <x v="7"/>
    <x v="2"/>
    <x v="1"/>
    <s v="Laptops"/>
    <x v="17"/>
    <x v="248"/>
    <n v="1"/>
    <n v="0.15"/>
    <x v="907"/>
    <x v="2"/>
    <x v="9"/>
    <x v="0"/>
  </r>
  <r>
    <x v="909"/>
    <x v="169"/>
    <x v="272"/>
    <x v="4"/>
    <x v="3"/>
    <x v="0"/>
    <x v="1"/>
    <s v="Mobiles"/>
    <x v="6"/>
    <x v="174"/>
    <n v="6"/>
    <n v="0.05"/>
    <x v="908"/>
    <x v="1"/>
    <x v="9"/>
    <x v="2"/>
  </r>
  <r>
    <x v="910"/>
    <x v="472"/>
    <x v="186"/>
    <x v="8"/>
    <x v="6"/>
    <x v="4"/>
    <x v="4"/>
    <s v="Chairs"/>
    <x v="9"/>
    <x v="73"/>
    <n v="3"/>
    <n v="0.05"/>
    <x v="909"/>
    <x v="0"/>
    <x v="9"/>
    <x v="1"/>
  </r>
  <r>
    <x v="911"/>
    <x v="22"/>
    <x v="243"/>
    <x v="13"/>
    <x v="3"/>
    <x v="0"/>
    <x v="1"/>
    <s v="Mobiles"/>
    <x v="1"/>
    <x v="137"/>
    <n v="1"/>
    <n v="0.15"/>
    <x v="910"/>
    <x v="2"/>
    <x v="1"/>
    <x v="1"/>
  </r>
  <r>
    <x v="912"/>
    <x v="385"/>
    <x v="25"/>
    <x v="9"/>
    <x v="7"/>
    <x v="2"/>
    <x v="2"/>
    <s v="Women"/>
    <x v="4"/>
    <x v="62"/>
    <n v="5"/>
    <n v="0.1"/>
    <x v="911"/>
    <x v="1"/>
    <x v="1"/>
    <x v="1"/>
  </r>
  <r>
    <x v="913"/>
    <x v="310"/>
    <x v="176"/>
    <x v="9"/>
    <x v="7"/>
    <x v="2"/>
    <x v="0"/>
    <s v="Cooling"/>
    <x v="13"/>
    <x v="25"/>
    <n v="5"/>
    <n v="0.05"/>
    <x v="912"/>
    <x v="0"/>
    <x v="4"/>
    <x v="2"/>
  </r>
  <r>
    <x v="914"/>
    <x v="473"/>
    <x v="206"/>
    <x v="1"/>
    <x v="1"/>
    <x v="1"/>
    <x v="3"/>
    <s v="Paper"/>
    <x v="12"/>
    <x v="262"/>
    <n v="6"/>
    <n v="0.05"/>
    <x v="913"/>
    <x v="1"/>
    <x v="6"/>
    <x v="0"/>
  </r>
  <r>
    <x v="915"/>
    <x v="266"/>
    <x v="139"/>
    <x v="2"/>
    <x v="2"/>
    <x v="2"/>
    <x v="2"/>
    <s v="Women"/>
    <x v="3"/>
    <x v="320"/>
    <n v="6"/>
    <n v="0"/>
    <x v="914"/>
    <x v="0"/>
    <x v="8"/>
    <x v="2"/>
  </r>
  <r>
    <x v="916"/>
    <x v="148"/>
    <x v="136"/>
    <x v="15"/>
    <x v="11"/>
    <x v="2"/>
    <x v="4"/>
    <s v="Tables"/>
    <x v="7"/>
    <x v="113"/>
    <n v="2"/>
    <n v="0.1"/>
    <x v="915"/>
    <x v="1"/>
    <x v="5"/>
    <x v="2"/>
  </r>
  <r>
    <x v="917"/>
    <x v="182"/>
    <x v="284"/>
    <x v="8"/>
    <x v="6"/>
    <x v="4"/>
    <x v="2"/>
    <s v="Women"/>
    <x v="3"/>
    <x v="321"/>
    <n v="4"/>
    <n v="0.15"/>
    <x v="916"/>
    <x v="2"/>
    <x v="8"/>
    <x v="1"/>
  </r>
  <r>
    <x v="918"/>
    <x v="115"/>
    <x v="223"/>
    <x v="11"/>
    <x v="3"/>
    <x v="0"/>
    <x v="4"/>
    <s v="Storage"/>
    <x v="14"/>
    <x v="87"/>
    <n v="4"/>
    <n v="0.1"/>
    <x v="917"/>
    <x v="3"/>
    <x v="7"/>
    <x v="0"/>
  </r>
  <r>
    <x v="919"/>
    <x v="300"/>
    <x v="225"/>
    <x v="4"/>
    <x v="3"/>
    <x v="0"/>
    <x v="3"/>
    <s v="Stationery"/>
    <x v="5"/>
    <x v="172"/>
    <n v="2"/>
    <n v="0.15"/>
    <x v="918"/>
    <x v="3"/>
    <x v="8"/>
    <x v="1"/>
  </r>
  <r>
    <x v="920"/>
    <x v="441"/>
    <x v="113"/>
    <x v="12"/>
    <x v="9"/>
    <x v="0"/>
    <x v="0"/>
    <s v="Cooling"/>
    <x v="13"/>
    <x v="35"/>
    <n v="6"/>
    <n v="0.1"/>
    <x v="919"/>
    <x v="3"/>
    <x v="7"/>
    <x v="0"/>
  </r>
  <r>
    <x v="921"/>
    <x v="335"/>
    <x v="206"/>
    <x v="15"/>
    <x v="11"/>
    <x v="2"/>
    <x v="1"/>
    <s v="Mobiles"/>
    <x v="6"/>
    <x v="7"/>
    <n v="3"/>
    <n v="0.15"/>
    <x v="920"/>
    <x v="2"/>
    <x v="6"/>
    <x v="1"/>
  </r>
  <r>
    <x v="922"/>
    <x v="177"/>
    <x v="22"/>
    <x v="10"/>
    <x v="8"/>
    <x v="3"/>
    <x v="0"/>
    <s v="Cleaning"/>
    <x v="0"/>
    <x v="24"/>
    <n v="6"/>
    <n v="0"/>
    <x v="921"/>
    <x v="0"/>
    <x v="2"/>
    <x v="0"/>
  </r>
  <r>
    <x v="923"/>
    <x v="68"/>
    <x v="239"/>
    <x v="12"/>
    <x v="9"/>
    <x v="0"/>
    <x v="4"/>
    <s v="Storage"/>
    <x v="14"/>
    <x v="247"/>
    <n v="4"/>
    <n v="0.05"/>
    <x v="922"/>
    <x v="1"/>
    <x v="3"/>
    <x v="1"/>
  </r>
  <r>
    <x v="924"/>
    <x v="498"/>
    <x v="239"/>
    <x v="13"/>
    <x v="3"/>
    <x v="0"/>
    <x v="3"/>
    <s v="Paper"/>
    <x v="12"/>
    <x v="5"/>
    <n v="3"/>
    <n v="0.1"/>
    <x v="923"/>
    <x v="0"/>
    <x v="6"/>
    <x v="1"/>
  </r>
  <r>
    <x v="925"/>
    <x v="182"/>
    <x v="170"/>
    <x v="2"/>
    <x v="2"/>
    <x v="2"/>
    <x v="1"/>
    <s v="Accessories"/>
    <x v="16"/>
    <x v="9"/>
    <n v="6"/>
    <n v="0.1"/>
    <x v="924"/>
    <x v="2"/>
    <x v="7"/>
    <x v="2"/>
  </r>
  <r>
    <x v="926"/>
    <x v="519"/>
    <x v="222"/>
    <x v="13"/>
    <x v="3"/>
    <x v="0"/>
    <x v="2"/>
    <s v="Women"/>
    <x v="3"/>
    <x v="320"/>
    <n v="6"/>
    <n v="0"/>
    <x v="925"/>
    <x v="4"/>
    <x v="0"/>
    <x v="1"/>
  </r>
  <r>
    <x v="927"/>
    <x v="32"/>
    <x v="157"/>
    <x v="10"/>
    <x v="8"/>
    <x v="3"/>
    <x v="2"/>
    <s v="Men"/>
    <x v="11"/>
    <x v="37"/>
    <n v="2"/>
    <n v="0.1"/>
    <x v="926"/>
    <x v="3"/>
    <x v="0"/>
    <x v="2"/>
  </r>
  <r>
    <x v="928"/>
    <x v="520"/>
    <x v="121"/>
    <x v="13"/>
    <x v="3"/>
    <x v="0"/>
    <x v="0"/>
    <s v="Kitchen"/>
    <x v="8"/>
    <x v="230"/>
    <n v="3"/>
    <n v="0.05"/>
    <x v="927"/>
    <x v="1"/>
    <x v="9"/>
    <x v="0"/>
  </r>
  <r>
    <x v="929"/>
    <x v="262"/>
    <x v="177"/>
    <x v="13"/>
    <x v="3"/>
    <x v="0"/>
    <x v="1"/>
    <s v="Accessories"/>
    <x v="2"/>
    <x v="9"/>
    <n v="3"/>
    <n v="0.1"/>
    <x v="928"/>
    <x v="3"/>
    <x v="0"/>
    <x v="1"/>
  </r>
  <r>
    <x v="930"/>
    <x v="439"/>
    <x v="2"/>
    <x v="7"/>
    <x v="5"/>
    <x v="1"/>
    <x v="2"/>
    <s v="Women"/>
    <x v="4"/>
    <x v="98"/>
    <n v="5"/>
    <n v="0.05"/>
    <x v="929"/>
    <x v="4"/>
    <x v="7"/>
    <x v="0"/>
  </r>
  <r>
    <x v="931"/>
    <x v="423"/>
    <x v="43"/>
    <x v="14"/>
    <x v="10"/>
    <x v="0"/>
    <x v="4"/>
    <s v="Chairs"/>
    <x v="9"/>
    <x v="322"/>
    <n v="3"/>
    <n v="0.1"/>
    <x v="930"/>
    <x v="3"/>
    <x v="0"/>
    <x v="2"/>
  </r>
  <r>
    <x v="932"/>
    <x v="131"/>
    <x v="182"/>
    <x v="7"/>
    <x v="5"/>
    <x v="1"/>
    <x v="0"/>
    <s v="Cooling"/>
    <x v="13"/>
    <x v="86"/>
    <n v="3"/>
    <n v="0"/>
    <x v="931"/>
    <x v="3"/>
    <x v="1"/>
    <x v="0"/>
  </r>
  <r>
    <x v="933"/>
    <x v="507"/>
    <x v="87"/>
    <x v="0"/>
    <x v="0"/>
    <x v="0"/>
    <x v="1"/>
    <s v="Mobiles"/>
    <x v="1"/>
    <x v="90"/>
    <n v="5"/>
    <n v="0.15"/>
    <x v="932"/>
    <x v="2"/>
    <x v="8"/>
    <x v="1"/>
  </r>
  <r>
    <x v="934"/>
    <x v="305"/>
    <x v="24"/>
    <x v="14"/>
    <x v="10"/>
    <x v="0"/>
    <x v="0"/>
    <s v="Kitchen"/>
    <x v="8"/>
    <x v="178"/>
    <n v="2"/>
    <n v="0.1"/>
    <x v="933"/>
    <x v="4"/>
    <x v="8"/>
    <x v="1"/>
  </r>
  <r>
    <x v="935"/>
    <x v="446"/>
    <x v="67"/>
    <x v="7"/>
    <x v="5"/>
    <x v="1"/>
    <x v="2"/>
    <s v="Women"/>
    <x v="3"/>
    <x v="142"/>
    <n v="1"/>
    <n v="0"/>
    <x v="934"/>
    <x v="3"/>
    <x v="1"/>
    <x v="1"/>
  </r>
  <r>
    <x v="936"/>
    <x v="153"/>
    <x v="186"/>
    <x v="0"/>
    <x v="0"/>
    <x v="0"/>
    <x v="1"/>
    <s v="Accessories"/>
    <x v="2"/>
    <x v="62"/>
    <n v="5"/>
    <n v="0.1"/>
    <x v="935"/>
    <x v="3"/>
    <x v="1"/>
    <x v="0"/>
  </r>
  <r>
    <x v="937"/>
    <x v="505"/>
    <x v="168"/>
    <x v="7"/>
    <x v="5"/>
    <x v="1"/>
    <x v="0"/>
    <s v="Cleaning"/>
    <x v="0"/>
    <x v="190"/>
    <n v="1"/>
    <n v="0.05"/>
    <x v="936"/>
    <x v="1"/>
    <x v="7"/>
    <x v="2"/>
  </r>
  <r>
    <x v="938"/>
    <x v="431"/>
    <x v="157"/>
    <x v="13"/>
    <x v="3"/>
    <x v="0"/>
    <x v="0"/>
    <s v="Kitchen"/>
    <x v="18"/>
    <x v="36"/>
    <n v="5"/>
    <n v="0.15"/>
    <x v="937"/>
    <x v="0"/>
    <x v="9"/>
    <x v="2"/>
  </r>
  <r>
    <x v="939"/>
    <x v="521"/>
    <x v="275"/>
    <x v="12"/>
    <x v="9"/>
    <x v="0"/>
    <x v="3"/>
    <s v="Paper"/>
    <x v="12"/>
    <x v="14"/>
    <n v="1"/>
    <n v="0.2"/>
    <x v="938"/>
    <x v="2"/>
    <x v="4"/>
    <x v="2"/>
  </r>
  <r>
    <x v="940"/>
    <x v="234"/>
    <x v="14"/>
    <x v="3"/>
    <x v="3"/>
    <x v="0"/>
    <x v="2"/>
    <s v="Men"/>
    <x v="11"/>
    <x v="33"/>
    <n v="1"/>
    <n v="0.1"/>
    <x v="939"/>
    <x v="2"/>
    <x v="7"/>
    <x v="1"/>
  </r>
  <r>
    <x v="941"/>
    <x v="283"/>
    <x v="3"/>
    <x v="8"/>
    <x v="6"/>
    <x v="4"/>
    <x v="3"/>
    <s v="Stationery"/>
    <x v="15"/>
    <x v="166"/>
    <n v="2"/>
    <n v="0.1"/>
    <x v="940"/>
    <x v="1"/>
    <x v="1"/>
    <x v="1"/>
  </r>
  <r>
    <x v="942"/>
    <x v="350"/>
    <x v="38"/>
    <x v="6"/>
    <x v="1"/>
    <x v="1"/>
    <x v="1"/>
    <s v="Laptops"/>
    <x v="19"/>
    <x v="196"/>
    <n v="4"/>
    <n v="0.15"/>
    <x v="941"/>
    <x v="0"/>
    <x v="5"/>
    <x v="2"/>
  </r>
  <r>
    <x v="943"/>
    <x v="324"/>
    <x v="285"/>
    <x v="14"/>
    <x v="10"/>
    <x v="0"/>
    <x v="1"/>
    <s v="Laptops"/>
    <x v="17"/>
    <x v="323"/>
    <n v="5"/>
    <n v="0.05"/>
    <x v="942"/>
    <x v="2"/>
    <x v="6"/>
    <x v="2"/>
  </r>
  <r>
    <x v="944"/>
    <x v="522"/>
    <x v="150"/>
    <x v="10"/>
    <x v="8"/>
    <x v="3"/>
    <x v="4"/>
    <s v="Tables"/>
    <x v="7"/>
    <x v="8"/>
    <n v="5"/>
    <n v="0.1"/>
    <x v="943"/>
    <x v="3"/>
    <x v="5"/>
    <x v="2"/>
  </r>
  <r>
    <x v="945"/>
    <x v="322"/>
    <x v="29"/>
    <x v="3"/>
    <x v="3"/>
    <x v="0"/>
    <x v="1"/>
    <s v="Mobiles"/>
    <x v="6"/>
    <x v="311"/>
    <n v="4"/>
    <n v="0.1"/>
    <x v="944"/>
    <x v="2"/>
    <x v="6"/>
    <x v="0"/>
  </r>
  <r>
    <x v="946"/>
    <x v="523"/>
    <x v="115"/>
    <x v="13"/>
    <x v="3"/>
    <x v="0"/>
    <x v="1"/>
    <s v="Accessories"/>
    <x v="16"/>
    <x v="319"/>
    <n v="5"/>
    <n v="0"/>
    <x v="945"/>
    <x v="0"/>
    <x v="3"/>
    <x v="2"/>
  </r>
  <r>
    <x v="947"/>
    <x v="241"/>
    <x v="223"/>
    <x v="7"/>
    <x v="5"/>
    <x v="1"/>
    <x v="0"/>
    <s v="Cooling"/>
    <x v="13"/>
    <x v="46"/>
    <n v="6"/>
    <n v="0.15"/>
    <x v="946"/>
    <x v="1"/>
    <x v="7"/>
    <x v="0"/>
  </r>
  <r>
    <x v="948"/>
    <x v="251"/>
    <x v="145"/>
    <x v="6"/>
    <x v="1"/>
    <x v="1"/>
    <x v="1"/>
    <s v="Mobiles"/>
    <x v="6"/>
    <x v="221"/>
    <n v="5"/>
    <n v="0"/>
    <x v="947"/>
    <x v="4"/>
    <x v="4"/>
    <x v="2"/>
  </r>
  <r>
    <x v="949"/>
    <x v="219"/>
    <x v="24"/>
    <x v="1"/>
    <x v="1"/>
    <x v="1"/>
    <x v="4"/>
    <s v="Tables"/>
    <x v="7"/>
    <x v="8"/>
    <n v="5"/>
    <n v="0.1"/>
    <x v="948"/>
    <x v="2"/>
    <x v="4"/>
    <x v="2"/>
  </r>
  <r>
    <x v="950"/>
    <x v="524"/>
    <x v="239"/>
    <x v="15"/>
    <x v="11"/>
    <x v="2"/>
    <x v="2"/>
    <s v="Men"/>
    <x v="11"/>
    <x v="111"/>
    <n v="2"/>
    <n v="0.15"/>
    <x v="949"/>
    <x v="1"/>
    <x v="2"/>
    <x v="0"/>
  </r>
  <r>
    <x v="951"/>
    <x v="525"/>
    <x v="161"/>
    <x v="8"/>
    <x v="6"/>
    <x v="4"/>
    <x v="3"/>
    <s v="Paper"/>
    <x v="12"/>
    <x v="50"/>
    <n v="4"/>
    <n v="0.05"/>
    <x v="950"/>
    <x v="4"/>
    <x v="1"/>
    <x v="0"/>
  </r>
  <r>
    <x v="952"/>
    <x v="185"/>
    <x v="116"/>
    <x v="14"/>
    <x v="10"/>
    <x v="0"/>
    <x v="0"/>
    <s v="Cleaning"/>
    <x v="0"/>
    <x v="207"/>
    <n v="2"/>
    <n v="0.05"/>
    <x v="951"/>
    <x v="4"/>
    <x v="6"/>
    <x v="1"/>
  </r>
  <r>
    <x v="953"/>
    <x v="238"/>
    <x v="212"/>
    <x v="6"/>
    <x v="1"/>
    <x v="1"/>
    <x v="2"/>
    <s v="Women"/>
    <x v="3"/>
    <x v="144"/>
    <n v="1"/>
    <n v="0.1"/>
    <x v="952"/>
    <x v="4"/>
    <x v="0"/>
    <x v="2"/>
  </r>
  <r>
    <x v="954"/>
    <x v="329"/>
    <x v="23"/>
    <x v="7"/>
    <x v="5"/>
    <x v="1"/>
    <x v="4"/>
    <s v="Chairs"/>
    <x v="9"/>
    <x v="56"/>
    <n v="3"/>
    <n v="0"/>
    <x v="953"/>
    <x v="1"/>
    <x v="1"/>
    <x v="0"/>
  </r>
  <r>
    <x v="955"/>
    <x v="329"/>
    <x v="4"/>
    <x v="9"/>
    <x v="7"/>
    <x v="2"/>
    <x v="2"/>
    <s v="Women"/>
    <x v="3"/>
    <x v="228"/>
    <n v="6"/>
    <n v="0.05"/>
    <x v="954"/>
    <x v="0"/>
    <x v="1"/>
    <x v="1"/>
  </r>
  <r>
    <x v="956"/>
    <x v="236"/>
    <x v="119"/>
    <x v="12"/>
    <x v="9"/>
    <x v="0"/>
    <x v="1"/>
    <s v="Laptops"/>
    <x v="17"/>
    <x v="279"/>
    <n v="1"/>
    <n v="0.1"/>
    <x v="955"/>
    <x v="3"/>
    <x v="2"/>
    <x v="0"/>
  </r>
  <r>
    <x v="957"/>
    <x v="526"/>
    <x v="47"/>
    <x v="12"/>
    <x v="9"/>
    <x v="0"/>
    <x v="1"/>
    <s v="Laptops"/>
    <x v="17"/>
    <x v="323"/>
    <n v="5"/>
    <n v="0.05"/>
    <x v="956"/>
    <x v="1"/>
    <x v="3"/>
    <x v="2"/>
  </r>
  <r>
    <x v="958"/>
    <x v="527"/>
    <x v="156"/>
    <x v="5"/>
    <x v="4"/>
    <x v="3"/>
    <x v="4"/>
    <s v="Storage"/>
    <x v="14"/>
    <x v="324"/>
    <n v="1"/>
    <n v="0.15"/>
    <x v="957"/>
    <x v="0"/>
    <x v="8"/>
    <x v="2"/>
  </r>
  <r>
    <x v="959"/>
    <x v="228"/>
    <x v="63"/>
    <x v="10"/>
    <x v="8"/>
    <x v="3"/>
    <x v="4"/>
    <s v="Chairs"/>
    <x v="10"/>
    <x v="58"/>
    <n v="3"/>
    <n v="0.15"/>
    <x v="958"/>
    <x v="3"/>
    <x v="6"/>
    <x v="1"/>
  </r>
  <r>
    <x v="960"/>
    <x v="48"/>
    <x v="213"/>
    <x v="14"/>
    <x v="10"/>
    <x v="0"/>
    <x v="4"/>
    <s v="Chairs"/>
    <x v="9"/>
    <x v="325"/>
    <n v="2"/>
    <n v="0"/>
    <x v="959"/>
    <x v="1"/>
    <x v="3"/>
    <x v="1"/>
  </r>
  <r>
    <x v="961"/>
    <x v="423"/>
    <x v="161"/>
    <x v="3"/>
    <x v="3"/>
    <x v="0"/>
    <x v="1"/>
    <s v="Accessories"/>
    <x v="2"/>
    <x v="41"/>
    <n v="2"/>
    <n v="0.1"/>
    <x v="960"/>
    <x v="1"/>
    <x v="3"/>
    <x v="1"/>
  </r>
  <r>
    <x v="962"/>
    <x v="528"/>
    <x v="19"/>
    <x v="8"/>
    <x v="6"/>
    <x v="4"/>
    <x v="1"/>
    <s v="Accessories"/>
    <x v="16"/>
    <x v="34"/>
    <n v="2"/>
    <n v="0.05"/>
    <x v="961"/>
    <x v="0"/>
    <x v="2"/>
    <x v="1"/>
  </r>
  <r>
    <x v="963"/>
    <x v="529"/>
    <x v="164"/>
    <x v="13"/>
    <x v="3"/>
    <x v="0"/>
    <x v="1"/>
    <s v="Laptops"/>
    <x v="19"/>
    <x v="326"/>
    <n v="6"/>
    <n v="0"/>
    <x v="962"/>
    <x v="0"/>
    <x v="8"/>
    <x v="2"/>
  </r>
  <r>
    <x v="964"/>
    <x v="489"/>
    <x v="255"/>
    <x v="7"/>
    <x v="5"/>
    <x v="1"/>
    <x v="1"/>
    <s v="Accessories"/>
    <x v="16"/>
    <x v="41"/>
    <n v="4"/>
    <n v="0.1"/>
    <x v="963"/>
    <x v="0"/>
    <x v="5"/>
    <x v="2"/>
  </r>
  <r>
    <x v="965"/>
    <x v="140"/>
    <x v="256"/>
    <x v="2"/>
    <x v="2"/>
    <x v="2"/>
    <x v="0"/>
    <s v="Kitchen"/>
    <x v="8"/>
    <x v="240"/>
    <n v="3"/>
    <n v="0.1"/>
    <x v="964"/>
    <x v="3"/>
    <x v="4"/>
    <x v="1"/>
  </r>
  <r>
    <x v="966"/>
    <x v="35"/>
    <x v="132"/>
    <x v="6"/>
    <x v="1"/>
    <x v="1"/>
    <x v="1"/>
    <s v="Mobiles"/>
    <x v="6"/>
    <x v="311"/>
    <n v="4"/>
    <n v="0.1"/>
    <x v="965"/>
    <x v="2"/>
    <x v="0"/>
    <x v="0"/>
  </r>
  <r>
    <x v="967"/>
    <x v="352"/>
    <x v="68"/>
    <x v="7"/>
    <x v="5"/>
    <x v="1"/>
    <x v="4"/>
    <s v="Tables"/>
    <x v="7"/>
    <x v="282"/>
    <n v="6"/>
    <n v="0.15"/>
    <x v="966"/>
    <x v="4"/>
    <x v="4"/>
    <x v="2"/>
  </r>
  <r>
    <x v="968"/>
    <x v="508"/>
    <x v="245"/>
    <x v="1"/>
    <x v="1"/>
    <x v="1"/>
    <x v="1"/>
    <s v="Mobiles"/>
    <x v="1"/>
    <x v="121"/>
    <n v="4"/>
    <n v="0.1"/>
    <x v="967"/>
    <x v="0"/>
    <x v="1"/>
    <x v="2"/>
  </r>
  <r>
    <x v="969"/>
    <x v="320"/>
    <x v="109"/>
    <x v="9"/>
    <x v="7"/>
    <x v="2"/>
    <x v="1"/>
    <s v="Mobiles"/>
    <x v="1"/>
    <x v="283"/>
    <n v="4"/>
    <n v="0"/>
    <x v="968"/>
    <x v="3"/>
    <x v="6"/>
    <x v="2"/>
  </r>
  <r>
    <x v="970"/>
    <x v="34"/>
    <x v="140"/>
    <x v="14"/>
    <x v="10"/>
    <x v="0"/>
    <x v="4"/>
    <s v="Storage"/>
    <x v="14"/>
    <x v="168"/>
    <n v="6"/>
    <n v="0"/>
    <x v="969"/>
    <x v="0"/>
    <x v="2"/>
    <x v="0"/>
  </r>
  <r>
    <x v="971"/>
    <x v="127"/>
    <x v="91"/>
    <x v="5"/>
    <x v="4"/>
    <x v="3"/>
    <x v="4"/>
    <s v="Chairs"/>
    <x v="10"/>
    <x v="56"/>
    <n v="2"/>
    <n v="0.1"/>
    <x v="970"/>
    <x v="1"/>
    <x v="5"/>
    <x v="2"/>
  </r>
  <r>
    <x v="972"/>
    <x v="265"/>
    <x v="192"/>
    <x v="15"/>
    <x v="11"/>
    <x v="2"/>
    <x v="2"/>
    <s v="Men"/>
    <x v="11"/>
    <x v="14"/>
    <n v="1"/>
    <n v="0.2"/>
    <x v="971"/>
    <x v="0"/>
    <x v="0"/>
    <x v="0"/>
  </r>
  <r>
    <x v="973"/>
    <x v="316"/>
    <x v="243"/>
    <x v="4"/>
    <x v="3"/>
    <x v="0"/>
    <x v="3"/>
    <s v="Stationery"/>
    <x v="5"/>
    <x v="107"/>
    <n v="3"/>
    <n v="0.05"/>
    <x v="972"/>
    <x v="2"/>
    <x v="6"/>
    <x v="0"/>
  </r>
  <r>
    <x v="974"/>
    <x v="412"/>
    <x v="274"/>
    <x v="13"/>
    <x v="3"/>
    <x v="0"/>
    <x v="4"/>
    <s v="Chairs"/>
    <x v="10"/>
    <x v="160"/>
    <n v="1"/>
    <n v="0.1"/>
    <x v="973"/>
    <x v="3"/>
    <x v="3"/>
    <x v="2"/>
  </r>
  <r>
    <x v="975"/>
    <x v="245"/>
    <x v="168"/>
    <x v="11"/>
    <x v="3"/>
    <x v="0"/>
    <x v="1"/>
    <s v="Mobiles"/>
    <x v="1"/>
    <x v="301"/>
    <n v="5"/>
    <n v="0.1"/>
    <x v="974"/>
    <x v="1"/>
    <x v="2"/>
    <x v="2"/>
  </r>
  <r>
    <x v="976"/>
    <x v="310"/>
    <x v="59"/>
    <x v="14"/>
    <x v="10"/>
    <x v="0"/>
    <x v="1"/>
    <s v="Laptops"/>
    <x v="19"/>
    <x v="269"/>
    <n v="6"/>
    <n v="0.15"/>
    <x v="975"/>
    <x v="4"/>
    <x v="8"/>
    <x v="0"/>
  </r>
  <r>
    <x v="977"/>
    <x v="192"/>
    <x v="143"/>
    <x v="0"/>
    <x v="0"/>
    <x v="0"/>
    <x v="3"/>
    <s v="Organizers"/>
    <x v="20"/>
    <x v="82"/>
    <n v="2"/>
    <n v="0.1"/>
    <x v="976"/>
    <x v="2"/>
    <x v="2"/>
    <x v="0"/>
  </r>
  <r>
    <x v="978"/>
    <x v="230"/>
    <x v="127"/>
    <x v="9"/>
    <x v="7"/>
    <x v="2"/>
    <x v="4"/>
    <s v="Chairs"/>
    <x v="10"/>
    <x v="12"/>
    <n v="5"/>
    <n v="0.15"/>
    <x v="977"/>
    <x v="4"/>
    <x v="1"/>
    <x v="2"/>
  </r>
  <r>
    <x v="979"/>
    <x v="286"/>
    <x v="70"/>
    <x v="8"/>
    <x v="6"/>
    <x v="4"/>
    <x v="4"/>
    <s v="Tables"/>
    <x v="7"/>
    <x v="327"/>
    <n v="4"/>
    <n v="0"/>
    <x v="978"/>
    <x v="1"/>
    <x v="7"/>
    <x v="0"/>
  </r>
  <r>
    <x v="980"/>
    <x v="369"/>
    <x v="216"/>
    <x v="14"/>
    <x v="10"/>
    <x v="0"/>
    <x v="2"/>
    <s v="Women"/>
    <x v="3"/>
    <x v="4"/>
    <n v="2"/>
    <n v="0.1"/>
    <x v="979"/>
    <x v="3"/>
    <x v="2"/>
    <x v="1"/>
  </r>
  <r>
    <x v="981"/>
    <x v="420"/>
    <x v="223"/>
    <x v="5"/>
    <x v="4"/>
    <x v="3"/>
    <x v="3"/>
    <s v="Stationery"/>
    <x v="15"/>
    <x v="95"/>
    <n v="2"/>
    <n v="0"/>
    <x v="980"/>
    <x v="0"/>
    <x v="9"/>
    <x v="1"/>
  </r>
  <r>
    <x v="982"/>
    <x v="438"/>
    <x v="22"/>
    <x v="6"/>
    <x v="1"/>
    <x v="1"/>
    <x v="0"/>
    <s v="Kitchen"/>
    <x v="8"/>
    <x v="308"/>
    <n v="1"/>
    <n v="0.1"/>
    <x v="981"/>
    <x v="0"/>
    <x v="3"/>
    <x v="0"/>
  </r>
  <r>
    <x v="983"/>
    <x v="0"/>
    <x v="77"/>
    <x v="5"/>
    <x v="4"/>
    <x v="3"/>
    <x v="1"/>
    <s v="Laptops"/>
    <x v="19"/>
    <x v="130"/>
    <n v="3"/>
    <n v="0.1"/>
    <x v="982"/>
    <x v="4"/>
    <x v="5"/>
    <x v="1"/>
  </r>
  <r>
    <x v="984"/>
    <x v="530"/>
    <x v="41"/>
    <x v="1"/>
    <x v="1"/>
    <x v="1"/>
    <x v="4"/>
    <s v="Chairs"/>
    <x v="9"/>
    <x v="322"/>
    <n v="3"/>
    <n v="0.1"/>
    <x v="983"/>
    <x v="0"/>
    <x v="3"/>
    <x v="1"/>
  </r>
  <r>
    <x v="985"/>
    <x v="218"/>
    <x v="173"/>
    <x v="7"/>
    <x v="5"/>
    <x v="1"/>
    <x v="0"/>
    <s v="Cooling"/>
    <x v="13"/>
    <x v="102"/>
    <n v="4"/>
    <n v="0"/>
    <x v="984"/>
    <x v="0"/>
    <x v="0"/>
    <x v="2"/>
  </r>
  <r>
    <x v="986"/>
    <x v="531"/>
    <x v="116"/>
    <x v="14"/>
    <x v="10"/>
    <x v="0"/>
    <x v="3"/>
    <s v="Organizers"/>
    <x v="20"/>
    <x v="249"/>
    <n v="5"/>
    <n v="0.15"/>
    <x v="985"/>
    <x v="2"/>
    <x v="3"/>
    <x v="0"/>
  </r>
  <r>
    <x v="987"/>
    <x v="62"/>
    <x v="228"/>
    <x v="11"/>
    <x v="3"/>
    <x v="0"/>
    <x v="1"/>
    <s v="Mobiles"/>
    <x v="6"/>
    <x v="211"/>
    <n v="6"/>
    <n v="0.1"/>
    <x v="986"/>
    <x v="0"/>
    <x v="6"/>
    <x v="2"/>
  </r>
  <r>
    <x v="988"/>
    <x v="532"/>
    <x v="242"/>
    <x v="12"/>
    <x v="9"/>
    <x v="0"/>
    <x v="3"/>
    <s v="Stationery"/>
    <x v="5"/>
    <x v="18"/>
    <n v="2"/>
    <n v="0.05"/>
    <x v="987"/>
    <x v="2"/>
    <x v="5"/>
    <x v="2"/>
  </r>
  <r>
    <x v="989"/>
    <x v="502"/>
    <x v="231"/>
    <x v="0"/>
    <x v="0"/>
    <x v="0"/>
    <x v="1"/>
    <s v="Mobiles"/>
    <x v="1"/>
    <x v="328"/>
    <n v="2"/>
    <n v="0.1"/>
    <x v="988"/>
    <x v="2"/>
    <x v="3"/>
    <x v="2"/>
  </r>
  <r>
    <x v="990"/>
    <x v="57"/>
    <x v="8"/>
    <x v="12"/>
    <x v="9"/>
    <x v="0"/>
    <x v="1"/>
    <s v="Accessories"/>
    <x v="16"/>
    <x v="21"/>
    <n v="4"/>
    <n v="0.05"/>
    <x v="989"/>
    <x v="4"/>
    <x v="0"/>
    <x v="1"/>
  </r>
  <r>
    <x v="991"/>
    <x v="507"/>
    <x v="26"/>
    <x v="5"/>
    <x v="4"/>
    <x v="3"/>
    <x v="4"/>
    <s v="Storage"/>
    <x v="14"/>
    <x v="315"/>
    <n v="2"/>
    <n v="0.1"/>
    <x v="990"/>
    <x v="1"/>
    <x v="7"/>
    <x v="1"/>
  </r>
  <r>
    <x v="992"/>
    <x v="533"/>
    <x v="195"/>
    <x v="3"/>
    <x v="3"/>
    <x v="0"/>
    <x v="1"/>
    <s v="Mobiles"/>
    <x v="1"/>
    <x v="121"/>
    <n v="4"/>
    <n v="0.1"/>
    <x v="991"/>
    <x v="3"/>
    <x v="4"/>
    <x v="0"/>
  </r>
  <r>
    <x v="993"/>
    <x v="85"/>
    <x v="193"/>
    <x v="0"/>
    <x v="0"/>
    <x v="0"/>
    <x v="0"/>
    <s v="Cleaning"/>
    <x v="0"/>
    <x v="299"/>
    <n v="4"/>
    <n v="0.1"/>
    <x v="992"/>
    <x v="2"/>
    <x v="9"/>
    <x v="1"/>
  </r>
  <r>
    <x v="994"/>
    <x v="534"/>
    <x v="6"/>
    <x v="0"/>
    <x v="0"/>
    <x v="0"/>
    <x v="2"/>
    <s v="Women"/>
    <x v="4"/>
    <x v="2"/>
    <n v="3"/>
    <n v="0.05"/>
    <x v="993"/>
    <x v="3"/>
    <x v="5"/>
    <x v="1"/>
  </r>
  <r>
    <x v="995"/>
    <x v="2"/>
    <x v="192"/>
    <x v="14"/>
    <x v="10"/>
    <x v="0"/>
    <x v="0"/>
    <s v="Cooling"/>
    <x v="13"/>
    <x v="229"/>
    <n v="1"/>
    <n v="0.15"/>
    <x v="994"/>
    <x v="2"/>
    <x v="4"/>
    <x v="2"/>
  </r>
  <r>
    <x v="996"/>
    <x v="535"/>
    <x v="59"/>
    <x v="8"/>
    <x v="6"/>
    <x v="4"/>
    <x v="3"/>
    <s v="Paper"/>
    <x v="12"/>
    <x v="39"/>
    <n v="3"/>
    <n v="0.15"/>
    <x v="995"/>
    <x v="3"/>
    <x v="7"/>
    <x v="2"/>
  </r>
  <r>
    <x v="997"/>
    <x v="512"/>
    <x v="201"/>
    <x v="12"/>
    <x v="9"/>
    <x v="0"/>
    <x v="3"/>
    <s v="Stationery"/>
    <x v="15"/>
    <x v="40"/>
    <n v="3"/>
    <n v="0.1"/>
    <x v="996"/>
    <x v="4"/>
    <x v="1"/>
    <x v="0"/>
  </r>
  <r>
    <x v="998"/>
    <x v="214"/>
    <x v="215"/>
    <x v="12"/>
    <x v="9"/>
    <x v="0"/>
    <x v="2"/>
    <s v="Women"/>
    <x v="3"/>
    <x v="329"/>
    <n v="2"/>
    <n v="0"/>
    <x v="997"/>
    <x v="4"/>
    <x v="5"/>
    <x v="1"/>
  </r>
  <r>
    <x v="999"/>
    <x v="369"/>
    <x v="188"/>
    <x v="5"/>
    <x v="4"/>
    <x v="3"/>
    <x v="1"/>
    <s v="Accessories"/>
    <x v="16"/>
    <x v="172"/>
    <n v="1"/>
    <n v="0.15"/>
    <x v="998"/>
    <x v="3"/>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55E7C9-05EA-4910-80D7-ED0CAB68F35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3:F16" firstHeaderRow="1" firstDataRow="1" firstDataCol="1"/>
  <pivotFields count="19">
    <pivotField showAll="0"/>
    <pivotField numFmtId="164" showAll="0">
      <items count="537">
        <item x="532"/>
        <item x="253"/>
        <item x="358"/>
        <item x="58"/>
        <item x="364"/>
        <item x="415"/>
        <item x="119"/>
        <item x="141"/>
        <item x="136"/>
        <item x="283"/>
        <item x="370"/>
        <item x="91"/>
        <item x="393"/>
        <item x="290"/>
        <item x="443"/>
        <item x="213"/>
        <item x="123"/>
        <item x="40"/>
        <item x="22"/>
        <item x="106"/>
        <item x="178"/>
        <item x="319"/>
        <item x="438"/>
        <item x="44"/>
        <item x="354"/>
        <item x="7"/>
        <item x="368"/>
        <item x="375"/>
        <item x="256"/>
        <item x="460"/>
        <item x="171"/>
        <item x="336"/>
        <item x="219"/>
        <item x="28"/>
        <item x="429"/>
        <item x="479"/>
        <item x="188"/>
        <item x="530"/>
        <item x="6"/>
        <item x="466"/>
        <item x="32"/>
        <item x="166"/>
        <item x="489"/>
        <item x="53"/>
        <item x="59"/>
        <item x="342"/>
        <item x="323"/>
        <item x="168"/>
        <item x="492"/>
        <item x="69"/>
        <item x="395"/>
        <item x="361"/>
        <item x="369"/>
        <item x="279"/>
        <item x="52"/>
        <item x="79"/>
        <item x="93"/>
        <item x="414"/>
        <item x="237"/>
        <item x="92"/>
        <item x="345"/>
        <item x="397"/>
        <item x="27"/>
        <item x="193"/>
        <item x="515"/>
        <item x="304"/>
        <item x="157"/>
        <item x="314"/>
        <item x="504"/>
        <item x="217"/>
        <item x="135"/>
        <item x="305"/>
        <item x="412"/>
        <item x="4"/>
        <item x="164"/>
        <item x="181"/>
        <item x="57"/>
        <item x="388"/>
        <item x="416"/>
        <item x="30"/>
        <item x="350"/>
        <item x="513"/>
        <item x="223"/>
        <item x="315"/>
        <item x="160"/>
        <item x="334"/>
        <item x="75"/>
        <item x="498"/>
        <item x="131"/>
        <item x="88"/>
        <item x="308"/>
        <item x="191"/>
        <item x="491"/>
        <item x="407"/>
        <item x="321"/>
        <item x="64"/>
        <item x="56"/>
        <item x="261"/>
        <item x="284"/>
        <item x="215"/>
        <item x="98"/>
        <item x="386"/>
        <item x="275"/>
        <item x="363"/>
        <item x="482"/>
        <item x="84"/>
        <item x="496"/>
        <item x="436"/>
        <item x="483"/>
        <item x="19"/>
        <item x="426"/>
        <item x="343"/>
        <item x="154"/>
        <item x="225"/>
        <item x="514"/>
        <item x="72"/>
        <item x="516"/>
        <item x="209"/>
        <item x="437"/>
        <item x="374"/>
        <item x="145"/>
        <item x="42"/>
        <item x="311"/>
        <item x="260"/>
        <item x="158"/>
        <item x="190"/>
        <item x="216"/>
        <item x="384"/>
        <item x="424"/>
        <item x="48"/>
        <item x="78"/>
        <item x="149"/>
        <item x="172"/>
        <item x="326"/>
        <item x="404"/>
        <item x="99"/>
        <item x="353"/>
        <item x="232"/>
        <item x="194"/>
        <item x="325"/>
        <item x="229"/>
        <item x="81"/>
        <item x="200"/>
        <item x="367"/>
        <item x="328"/>
        <item x="189"/>
        <item x="430"/>
        <item x="46"/>
        <item x="127"/>
        <item x="401"/>
        <item x="339"/>
        <item x="421"/>
        <item x="184"/>
        <item x="287"/>
        <item x="206"/>
        <item x="0"/>
        <item x="310"/>
        <item x="23"/>
        <item x="423"/>
        <item x="107"/>
        <item x="14"/>
        <item x="103"/>
        <item x="89"/>
        <item x="173"/>
        <item x="385"/>
        <item x="522"/>
        <item x="470"/>
        <item x="399"/>
        <item x="39"/>
        <item x="488"/>
        <item x="262"/>
        <item x="248"/>
        <item x="152"/>
        <item x="109"/>
        <item x="497"/>
        <item x="512"/>
        <item x="518"/>
        <item x="182"/>
        <item x="378"/>
        <item x="371"/>
        <item x="24"/>
        <item x="330"/>
        <item x="459"/>
        <item x="47"/>
        <item x="273"/>
        <item x="204"/>
        <item x="139"/>
        <item x="485"/>
        <item x="365"/>
        <item x="265"/>
        <item x="13"/>
        <item x="286"/>
        <item x="113"/>
        <item x="31"/>
        <item x="62"/>
        <item x="320"/>
        <item x="270"/>
        <item x="87"/>
        <item x="38"/>
        <item x="86"/>
        <item x="259"/>
        <item x="242"/>
        <item x="510"/>
        <item x="338"/>
        <item x="147"/>
        <item x="300"/>
        <item x="524"/>
        <item x="201"/>
        <item x="332"/>
        <item x="73"/>
        <item x="128"/>
        <item x="15"/>
        <item x="250"/>
        <item x="351"/>
        <item x="104"/>
        <item x="169"/>
        <item x="221"/>
        <item x="435"/>
        <item x="505"/>
        <item x="117"/>
        <item x="96"/>
        <item x="77"/>
        <item x="291"/>
        <item x="243"/>
        <item x="255"/>
        <item x="387"/>
        <item x="452"/>
        <item x="347"/>
        <item x="400"/>
        <item x="228"/>
        <item x="500"/>
        <item x="468"/>
        <item x="316"/>
        <item x="282"/>
        <item x="508"/>
        <item x="11"/>
        <item x="493"/>
        <item x="196"/>
        <item x="187"/>
        <item x="55"/>
        <item x="34"/>
        <item x="212"/>
        <item x="20"/>
        <item x="457"/>
        <item x="3"/>
        <item x="301"/>
        <item x="234"/>
        <item x="322"/>
        <item x="195"/>
        <item x="376"/>
        <item x="45"/>
        <item x="413"/>
        <item x="288"/>
        <item x="389"/>
        <item x="105"/>
        <item x="278"/>
        <item x="382"/>
        <item x="372"/>
        <item x="210"/>
        <item x="153"/>
        <item x="276"/>
        <item x="126"/>
        <item x="61"/>
        <item x="95"/>
        <item x="90"/>
        <item x="494"/>
        <item x="309"/>
        <item x="317"/>
        <item x="138"/>
        <item x="50"/>
        <item x="274"/>
        <item x="63"/>
        <item x="464"/>
        <item x="82"/>
        <item x="133"/>
        <item x="159"/>
        <item x="520"/>
        <item x="140"/>
        <item x="523"/>
        <item x="467"/>
        <item x="299"/>
        <item x="120"/>
        <item x="481"/>
        <item x="349"/>
        <item x="455"/>
        <item x="74"/>
        <item x="186"/>
        <item x="454"/>
        <item x="406"/>
        <item x="54"/>
        <item x="94"/>
        <item x="230"/>
        <item x="227"/>
        <item x="76"/>
        <item x="137"/>
        <item x="26"/>
        <item x="355"/>
        <item x="461"/>
        <item x="418"/>
        <item x="257"/>
        <item x="35"/>
        <item x="36"/>
        <item x="447"/>
        <item x="511"/>
        <item x="448"/>
        <item x="420"/>
        <item x="293"/>
        <item x="185"/>
        <item x="130"/>
        <item x="263"/>
        <item x="297"/>
        <item x="396"/>
        <item x="289"/>
        <item x="203"/>
        <item x="80"/>
        <item x="156"/>
        <item x="199"/>
        <item x="327"/>
        <item x="373"/>
        <item x="264"/>
        <item x="246"/>
        <item x="251"/>
        <item x="296"/>
        <item x="125"/>
        <item x="528"/>
        <item x="294"/>
        <item x="390"/>
        <item x="134"/>
        <item x="222"/>
        <item x="37"/>
        <item x="1"/>
        <item x="9"/>
        <item x="519"/>
        <item x="473"/>
        <item x="151"/>
        <item x="108"/>
        <item x="318"/>
        <item x="517"/>
        <item x="529"/>
        <item x="85"/>
        <item x="335"/>
        <item x="463"/>
        <item x="238"/>
        <item x="509"/>
        <item x="97"/>
        <item x="476"/>
        <item x="202"/>
        <item x="409"/>
        <item x="475"/>
        <item x="356"/>
        <item x="240"/>
        <item x="391"/>
        <item x="2"/>
        <item x="474"/>
        <item x="129"/>
        <item x="83"/>
        <item x="380"/>
        <item x="249"/>
        <item x="176"/>
        <item x="306"/>
        <item x="398"/>
        <item x="155"/>
        <item x="402"/>
        <item x="205"/>
        <item x="165"/>
        <item x="115"/>
        <item x="329"/>
        <item x="428"/>
        <item x="65"/>
        <item x="179"/>
        <item x="359"/>
        <item x="51"/>
        <item x="408"/>
        <item x="360"/>
        <item x="244"/>
        <item x="295"/>
        <item x="277"/>
        <item x="241"/>
        <item x="124"/>
        <item x="324"/>
        <item x="33"/>
        <item x="465"/>
        <item x="392"/>
        <item x="377"/>
        <item x="444"/>
        <item x="456"/>
        <item x="352"/>
        <item x="337"/>
        <item x="183"/>
        <item x="348"/>
        <item x="235"/>
        <item x="132"/>
        <item x="411"/>
        <item x="218"/>
        <item x="434"/>
        <item x="458"/>
        <item x="495"/>
        <item x="49"/>
        <item x="122"/>
        <item x="68"/>
        <item x="198"/>
        <item x="366"/>
        <item x="231"/>
        <item x="462"/>
        <item x="535"/>
        <item x="502"/>
        <item x="307"/>
        <item x="258"/>
        <item x="247"/>
        <item x="146"/>
        <item x="272"/>
        <item x="526"/>
        <item x="121"/>
        <item x="357"/>
        <item x="531"/>
        <item x="111"/>
        <item x="100"/>
        <item x="18"/>
        <item x="271"/>
        <item x="480"/>
        <item x="70"/>
        <item x="379"/>
        <item x="346"/>
        <item x="469"/>
        <item x="233"/>
        <item x="439"/>
        <item x="292"/>
        <item x="192"/>
        <item x="268"/>
        <item x="503"/>
        <item x="403"/>
        <item x="381"/>
        <item x="333"/>
        <item x="150"/>
        <item x="245"/>
        <item x="440"/>
        <item x="175"/>
        <item x="432"/>
        <item x="303"/>
        <item x="197"/>
        <item x="431"/>
        <item x="163"/>
        <item x="422"/>
        <item x="102"/>
        <item x="8"/>
        <item x="220"/>
        <item x="383"/>
        <item x="341"/>
        <item x="302"/>
        <item x="224"/>
        <item x="254"/>
        <item x="445"/>
        <item x="533"/>
        <item x="148"/>
        <item x="433"/>
        <item x="170"/>
        <item x="161"/>
        <item x="211"/>
        <item x="527"/>
        <item x="41"/>
        <item x="313"/>
        <item x="362"/>
        <item x="177"/>
        <item x="25"/>
        <item x="21"/>
        <item x="17"/>
        <item x="487"/>
        <item x="344"/>
        <item x="312"/>
        <item x="71"/>
        <item x="12"/>
        <item x="442"/>
        <item x="394"/>
        <item x="226"/>
        <item x="471"/>
        <item x="143"/>
        <item x="29"/>
        <item x="43"/>
        <item x="144"/>
        <item x="112"/>
        <item x="16"/>
        <item x="236"/>
        <item x="252"/>
        <item x="162"/>
        <item x="453"/>
        <item x="419"/>
        <item x="118"/>
        <item x="506"/>
        <item x="484"/>
        <item x="486"/>
        <item x="478"/>
        <item x="174"/>
        <item x="67"/>
        <item x="410"/>
        <item x="449"/>
        <item x="142"/>
        <item x="269"/>
        <item x="267"/>
        <item x="450"/>
        <item x="425"/>
        <item x="207"/>
        <item x="534"/>
        <item x="110"/>
        <item x="180"/>
        <item x="417"/>
        <item x="101"/>
        <item x="298"/>
        <item x="114"/>
        <item x="441"/>
        <item x="477"/>
        <item x="499"/>
        <item x="167"/>
        <item x="10"/>
        <item x="405"/>
        <item x="281"/>
        <item x="331"/>
        <item x="490"/>
        <item x="427"/>
        <item x="501"/>
        <item x="340"/>
        <item x="446"/>
        <item x="285"/>
        <item x="208"/>
        <item x="214"/>
        <item x="451"/>
        <item x="280"/>
        <item x="472"/>
        <item x="525"/>
        <item x="507"/>
        <item x="66"/>
        <item x="521"/>
        <item x="60"/>
        <item x="5"/>
        <item x="239"/>
        <item x="116"/>
        <item x="266"/>
        <item t="default"/>
      </items>
    </pivotField>
    <pivotField showAll="0">
      <items count="287">
        <item x="45"/>
        <item x="18"/>
        <item x="270"/>
        <item x="57"/>
        <item x="13"/>
        <item x="20"/>
        <item x="212"/>
        <item x="44"/>
        <item x="205"/>
        <item x="70"/>
        <item x="178"/>
        <item x="283"/>
        <item x="259"/>
        <item x="61"/>
        <item x="21"/>
        <item x="99"/>
        <item x="96"/>
        <item x="105"/>
        <item x="121"/>
        <item x="233"/>
        <item x="230"/>
        <item x="25"/>
        <item x="54"/>
        <item x="78"/>
        <item x="30"/>
        <item x="19"/>
        <item x="220"/>
        <item x="272"/>
        <item x="224"/>
        <item x="213"/>
        <item x="58"/>
        <item x="98"/>
        <item x="55"/>
        <item x="120"/>
        <item x="83"/>
        <item x="34"/>
        <item x="260"/>
        <item x="102"/>
        <item x="60"/>
        <item x="33"/>
        <item x="269"/>
        <item x="39"/>
        <item x="274"/>
        <item x="265"/>
        <item x="106"/>
        <item x="253"/>
        <item x="15"/>
        <item x="222"/>
        <item x="234"/>
        <item x="59"/>
        <item x="125"/>
        <item x="263"/>
        <item x="221"/>
        <item x="235"/>
        <item x="4"/>
        <item x="95"/>
        <item x="169"/>
        <item x="135"/>
        <item x="146"/>
        <item x="162"/>
        <item x="14"/>
        <item x="37"/>
        <item x="171"/>
        <item x="42"/>
        <item x="114"/>
        <item x="268"/>
        <item x="161"/>
        <item x="11"/>
        <item x="189"/>
        <item x="85"/>
        <item x="87"/>
        <item x="210"/>
        <item x="112"/>
        <item x="124"/>
        <item x="56"/>
        <item x="168"/>
        <item x="134"/>
        <item x="101"/>
        <item x="43"/>
        <item x="251"/>
        <item x="148"/>
        <item x="250"/>
        <item x="157"/>
        <item x="194"/>
        <item x="204"/>
        <item x="132"/>
        <item x="229"/>
        <item x="10"/>
        <item x="67"/>
        <item x="80"/>
        <item x="156"/>
        <item x="47"/>
        <item x="6"/>
        <item x="12"/>
        <item x="28"/>
        <item x="248"/>
        <item x="138"/>
        <item x="53"/>
        <item x="226"/>
        <item x="279"/>
        <item x="104"/>
        <item x="197"/>
        <item x="116"/>
        <item x="141"/>
        <item x="127"/>
        <item x="258"/>
        <item x="108"/>
        <item x="202"/>
        <item x="255"/>
        <item x="219"/>
        <item x="282"/>
        <item x="100"/>
        <item x="214"/>
        <item x="36"/>
        <item x="130"/>
        <item x="5"/>
        <item x="86"/>
        <item x="264"/>
        <item x="107"/>
        <item x="31"/>
        <item x="209"/>
        <item x="76"/>
        <item x="111"/>
        <item x="192"/>
        <item x="185"/>
        <item x="123"/>
        <item x="159"/>
        <item x="110"/>
        <item x="191"/>
        <item x="147"/>
        <item x="276"/>
        <item x="149"/>
        <item x="66"/>
        <item x="27"/>
        <item x="227"/>
        <item x="183"/>
        <item x="242"/>
        <item x="216"/>
        <item x="68"/>
        <item x="267"/>
        <item x="103"/>
        <item x="173"/>
        <item x="245"/>
        <item x="243"/>
        <item x="88"/>
        <item x="84"/>
        <item x="249"/>
        <item x="50"/>
        <item x="277"/>
        <item x="252"/>
        <item x="200"/>
        <item x="190"/>
        <item x="109"/>
        <item x="137"/>
        <item x="232"/>
        <item x="211"/>
        <item x="46"/>
        <item x="177"/>
        <item x="154"/>
        <item x="186"/>
        <item x="256"/>
        <item x="176"/>
        <item x="49"/>
        <item x="40"/>
        <item x="17"/>
        <item x="170"/>
        <item x="198"/>
        <item x="217"/>
        <item x="181"/>
        <item x="215"/>
        <item x="163"/>
        <item x="129"/>
        <item x="237"/>
        <item x="69"/>
        <item x="193"/>
        <item x="164"/>
        <item x="35"/>
        <item x="91"/>
        <item x="32"/>
        <item x="166"/>
        <item x="8"/>
        <item x="2"/>
        <item x="152"/>
        <item x="9"/>
        <item x="239"/>
        <item x="285"/>
        <item x="143"/>
        <item x="119"/>
        <item x="175"/>
        <item x="199"/>
        <item x="240"/>
        <item x="93"/>
        <item x="38"/>
        <item x="23"/>
        <item x="179"/>
        <item x="82"/>
        <item x="64"/>
        <item x="140"/>
        <item x="257"/>
        <item x="238"/>
        <item x="150"/>
        <item x="206"/>
        <item x="75"/>
        <item x="145"/>
        <item x="113"/>
        <item x="16"/>
        <item x="195"/>
        <item x="89"/>
        <item x="79"/>
        <item x="133"/>
        <item x="115"/>
        <item x="77"/>
        <item x="225"/>
        <item x="0"/>
        <item x="172"/>
        <item x="246"/>
        <item x="118"/>
        <item x="284"/>
        <item x="74"/>
        <item x="218"/>
        <item x="207"/>
        <item x="117"/>
        <item x="1"/>
        <item x="122"/>
        <item x="81"/>
        <item x="247"/>
        <item x="188"/>
        <item x="280"/>
        <item x="97"/>
        <item x="254"/>
        <item x="136"/>
        <item x="63"/>
        <item x="94"/>
        <item x="273"/>
        <item x="126"/>
        <item x="24"/>
        <item x="180"/>
        <item x="208"/>
        <item x="26"/>
        <item x="128"/>
        <item x="174"/>
        <item x="158"/>
        <item x="142"/>
        <item x="271"/>
        <item x="22"/>
        <item x="187"/>
        <item x="201"/>
        <item x="65"/>
        <item x="144"/>
        <item x="52"/>
        <item x="278"/>
        <item x="223"/>
        <item x="131"/>
        <item x="231"/>
        <item x="196"/>
        <item x="153"/>
        <item x="160"/>
        <item x="71"/>
        <item x="281"/>
        <item x="7"/>
        <item x="62"/>
        <item x="139"/>
        <item x="3"/>
        <item x="266"/>
        <item x="51"/>
        <item x="228"/>
        <item x="155"/>
        <item x="151"/>
        <item x="29"/>
        <item x="90"/>
        <item x="236"/>
        <item x="244"/>
        <item x="241"/>
        <item x="203"/>
        <item x="261"/>
        <item x="72"/>
        <item x="182"/>
        <item x="165"/>
        <item x="275"/>
        <item x="92"/>
        <item x="167"/>
        <item x="48"/>
        <item x="41"/>
        <item x="262"/>
        <item x="184"/>
        <item x="73"/>
        <item t="default"/>
      </items>
    </pivotField>
    <pivotField showAll="0">
      <items count="17">
        <item x="7"/>
        <item x="11"/>
        <item x="10"/>
        <item x="12"/>
        <item x="15"/>
        <item x="4"/>
        <item x="0"/>
        <item x="8"/>
        <item x="9"/>
        <item x="14"/>
        <item x="5"/>
        <item x="2"/>
        <item x="13"/>
        <item x="1"/>
        <item x="3"/>
        <item x="6"/>
        <item t="default"/>
      </items>
    </pivotField>
    <pivotField axis="axisRow" showAll="0">
      <items count="13">
        <item x="11"/>
        <item x="5"/>
        <item x="3"/>
        <item x="10"/>
        <item x="6"/>
        <item x="1"/>
        <item x="8"/>
        <item x="7"/>
        <item x="9"/>
        <item x="0"/>
        <item x="2"/>
        <item x="4"/>
        <item t="default"/>
      </items>
    </pivotField>
    <pivotField showAll="0">
      <items count="6">
        <item x="4"/>
        <item x="3"/>
        <item x="2"/>
        <item x="0"/>
        <item x="1"/>
        <item t="default"/>
      </items>
    </pivotField>
    <pivotField showAll="0"/>
    <pivotField showAll="0"/>
    <pivotField showAll="0">
      <items count="23">
        <item x="12"/>
        <item x="13"/>
        <item x="2"/>
        <item x="17"/>
        <item x="20"/>
        <item x="18"/>
        <item x="9"/>
        <item x="10"/>
        <item x="14"/>
        <item x="21"/>
        <item x="3"/>
        <item x="19"/>
        <item x="11"/>
        <item x="4"/>
        <item x="8"/>
        <item x="5"/>
        <item x="7"/>
        <item x="1"/>
        <item x="15"/>
        <item x="6"/>
        <item x="0"/>
        <item x="16"/>
        <item t="default"/>
      </items>
    </pivotField>
    <pivotField numFmtId="4" showAll="0">
      <items count="331">
        <item x="264"/>
        <item x="31"/>
        <item x="192"/>
        <item x="280"/>
        <item x="131"/>
        <item x="91"/>
        <item x="184"/>
        <item x="19"/>
        <item x="203"/>
        <item x="289"/>
        <item x="199"/>
        <item x="166"/>
        <item x="265"/>
        <item x="95"/>
        <item x="70"/>
        <item x="266"/>
        <item x="172"/>
        <item x="40"/>
        <item x="18"/>
        <item x="57"/>
        <item x="159"/>
        <item x="251"/>
        <item x="55"/>
        <item x="119"/>
        <item x="193"/>
        <item x="82"/>
        <item x="133"/>
        <item x="155"/>
        <item x="128"/>
        <item x="107"/>
        <item x="294"/>
        <item x="205"/>
        <item x="129"/>
        <item x="51"/>
        <item x="115"/>
        <item x="94"/>
        <item x="104"/>
        <item x="67"/>
        <item x="271"/>
        <item x="6"/>
        <item x="202"/>
        <item x="34"/>
        <item x="149"/>
        <item x="44"/>
        <item x="135"/>
        <item x="153"/>
        <item x="183"/>
        <item x="14"/>
        <item x="71"/>
        <item x="144"/>
        <item x="32"/>
        <item x="260"/>
        <item x="298"/>
        <item x="238"/>
        <item x="33"/>
        <item x="142"/>
        <item x="219"/>
        <item x="243"/>
        <item x="77"/>
        <item x="296"/>
        <item x="151"/>
        <item x="256"/>
        <item x="209"/>
        <item x="242"/>
        <item x="187"/>
        <item x="117"/>
        <item x="249"/>
        <item x="164"/>
        <item x="175"/>
        <item x="27"/>
        <item x="68"/>
        <item x="61"/>
        <item x="41"/>
        <item x="140"/>
        <item x="21"/>
        <item x="120"/>
        <item x="165"/>
        <item x="146"/>
        <item x="278"/>
        <item x="308"/>
        <item x="97"/>
        <item x="4"/>
        <item x="241"/>
        <item x="309"/>
        <item x="111"/>
        <item x="99"/>
        <item x="114"/>
        <item x="37"/>
        <item x="329"/>
        <item x="319"/>
        <item x="110"/>
        <item x="83"/>
        <item x="254"/>
        <item x="9"/>
        <item x="2"/>
        <item x="324"/>
        <item x="143"/>
        <item x="288"/>
        <item x="220"/>
        <item x="88"/>
        <item x="148"/>
        <item x="274"/>
        <item x="103"/>
        <item x="124"/>
        <item x="39"/>
        <item x="214"/>
        <item x="277"/>
        <item x="5"/>
        <item x="305"/>
        <item x="318"/>
        <item x="72"/>
        <item x="287"/>
        <item x="116"/>
        <item x="112"/>
        <item x="236"/>
        <item x="321"/>
        <item x="237"/>
        <item x="178"/>
        <item x="162"/>
        <item x="36"/>
        <item x="89"/>
        <item x="224"/>
        <item x="198"/>
        <item x="284"/>
        <item x="190"/>
        <item x="62"/>
        <item x="169"/>
        <item x="204"/>
        <item x="98"/>
        <item x="22"/>
        <item x="253"/>
        <item x="50"/>
        <item x="170"/>
        <item x="156"/>
        <item x="317"/>
        <item x="15"/>
        <item x="81"/>
        <item x="85"/>
        <item x="157"/>
        <item x="59"/>
        <item x="66"/>
        <item x="234"/>
        <item x="245"/>
        <item x="141"/>
        <item x="229"/>
        <item x="54"/>
        <item x="263"/>
        <item x="125"/>
        <item x="315"/>
        <item x="3"/>
        <item x="160"/>
        <item x="240"/>
        <item x="200"/>
        <item x="171"/>
        <item x="13"/>
        <item x="176"/>
        <item x="230"/>
        <item x="106"/>
        <item x="20"/>
        <item x="75"/>
        <item x="16"/>
        <item x="228"/>
        <item x="53"/>
        <item x="215"/>
        <item x="258"/>
        <item x="320"/>
        <item x="268"/>
        <item x="255"/>
        <item x="262"/>
        <item x="206"/>
        <item x="173"/>
        <item x="225"/>
        <item x="180"/>
        <item x="325"/>
        <item x="191"/>
        <item x="300"/>
        <item x="127"/>
        <item x="207"/>
        <item x="47"/>
        <item x="259"/>
        <item x="306"/>
        <item x="292"/>
        <item x="10"/>
        <item x="314"/>
        <item x="76"/>
        <item x="322"/>
        <item x="113"/>
        <item x="42"/>
        <item x="17"/>
        <item x="186"/>
        <item x="73"/>
        <item x="26"/>
        <item x="0"/>
        <item x="293"/>
        <item x="87"/>
        <item x="56"/>
        <item x="212"/>
        <item x="312"/>
        <item x="247"/>
        <item x="132"/>
        <item x="161"/>
        <item x="101"/>
        <item x="28"/>
        <item x="147"/>
        <item x="233"/>
        <item x="210"/>
        <item x="137"/>
        <item x="45"/>
        <item x="195"/>
        <item x="181"/>
        <item x="313"/>
        <item x="261"/>
        <item x="239"/>
        <item x="307"/>
        <item x="299"/>
        <item x="250"/>
        <item x="58"/>
        <item x="235"/>
        <item x="188"/>
        <item x="316"/>
        <item x="189"/>
        <item x="23"/>
        <item x="138"/>
        <item x="226"/>
        <item x="244"/>
        <item x="213"/>
        <item x="96"/>
        <item x="38"/>
        <item x="168"/>
        <item x="86"/>
        <item x="167"/>
        <item x="48"/>
        <item x="273"/>
        <item x="11"/>
        <item x="201"/>
        <item x="78"/>
        <item x="276"/>
        <item x="63"/>
        <item x="100"/>
        <item x="60"/>
        <item x="49"/>
        <item x="327"/>
        <item x="182"/>
        <item x="69"/>
        <item x="64"/>
        <item x="248"/>
        <item x="270"/>
        <item x="102"/>
        <item x="24"/>
        <item x="8"/>
        <item x="139"/>
        <item x="279"/>
        <item x="12"/>
        <item x="328"/>
        <item x="179"/>
        <item x="295"/>
        <item x="158"/>
        <item x="109"/>
        <item x="275"/>
        <item x="123"/>
        <item x="282"/>
        <item x="25"/>
        <item x="145"/>
        <item x="194"/>
        <item x="218"/>
        <item x="46"/>
        <item x="303"/>
        <item x="154"/>
        <item x="35"/>
        <item x="208"/>
        <item x="122"/>
        <item x="105"/>
        <item x="126"/>
        <item x="80"/>
        <item x="108"/>
        <item x="231"/>
        <item x="281"/>
        <item x="272"/>
        <item x="150"/>
        <item x="7"/>
        <item x="304"/>
        <item x="177"/>
        <item x="163"/>
        <item x="257"/>
        <item x="65"/>
        <item x="121"/>
        <item x="79"/>
        <item x="227"/>
        <item x="134"/>
        <item x="283"/>
        <item x="232"/>
        <item x="90"/>
        <item x="152"/>
        <item x="301"/>
        <item x="311"/>
        <item x="130"/>
        <item x="197"/>
        <item x="267"/>
        <item x="30"/>
        <item x="217"/>
        <item x="297"/>
        <item x="302"/>
        <item x="84"/>
        <item x="216"/>
        <item x="74"/>
        <item x="1"/>
        <item x="222"/>
        <item x="196"/>
        <item x="118"/>
        <item x="136"/>
        <item x="221"/>
        <item x="252"/>
        <item x="52"/>
        <item x="211"/>
        <item x="290"/>
        <item x="223"/>
        <item x="174"/>
        <item x="291"/>
        <item x="92"/>
        <item x="93"/>
        <item x="185"/>
        <item x="310"/>
        <item x="269"/>
        <item x="323"/>
        <item x="286"/>
        <item x="246"/>
        <item x="43"/>
        <item x="326"/>
        <item x="285"/>
        <item x="29"/>
        <item t="default"/>
      </items>
    </pivotField>
    <pivotField showAll="0"/>
    <pivotField dataField="1" numFmtId="4" showAll="0"/>
    <pivotField numFmtId="4" showAll="0"/>
    <pivotField showAll="0"/>
    <pivotField showAll="0">
      <items count="11">
        <item x="5"/>
        <item x="2"/>
        <item x="9"/>
        <item x="1"/>
        <item x="7"/>
        <item x="3"/>
        <item x="4"/>
        <item x="8"/>
        <item x="0"/>
        <item x="6"/>
        <item t="default"/>
      </items>
    </pivotField>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4"/>
  </rowFields>
  <rowItems count="13">
    <i>
      <x/>
    </i>
    <i>
      <x v="1"/>
    </i>
    <i>
      <x v="2"/>
    </i>
    <i>
      <x v="3"/>
    </i>
    <i>
      <x v="4"/>
    </i>
    <i>
      <x v="5"/>
    </i>
    <i>
      <x v="6"/>
    </i>
    <i>
      <x v="7"/>
    </i>
    <i>
      <x v="8"/>
    </i>
    <i>
      <x v="9"/>
    </i>
    <i>
      <x v="10"/>
    </i>
    <i>
      <x v="11"/>
    </i>
    <i t="grand">
      <x/>
    </i>
  </rowItems>
  <colItems count="1">
    <i/>
  </colItems>
  <dataFields count="1">
    <dataField name="Sum of Discount" fld="11" baseField="0" baseItem="0" numFmtId="4"/>
  </dataFields>
  <chartFormats count="2">
    <chartFormat chart="0" format="1" series="1">
      <pivotArea type="data" outline="0" fieldPosition="0">
        <references count="1">
          <reference field="4294967294" count="1" selected="0">
            <x v="0"/>
          </reference>
        </references>
      </pivotArea>
    </chartFormat>
    <chartFormat chart="5" format="5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4C9B0A-3B45-4092-8307-F809A04D602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16" firstHeaderRow="0" firstDataRow="1" firstDataCol="1"/>
  <pivotFields count="19">
    <pivotField dataField="1" showAll="0"/>
    <pivotField numFmtId="164" showAll="0">
      <items count="537">
        <item x="532"/>
        <item x="253"/>
        <item x="358"/>
        <item x="58"/>
        <item x="364"/>
        <item x="415"/>
        <item x="119"/>
        <item x="141"/>
        <item x="136"/>
        <item x="283"/>
        <item x="370"/>
        <item x="91"/>
        <item x="393"/>
        <item x="290"/>
        <item x="443"/>
        <item x="213"/>
        <item x="123"/>
        <item x="40"/>
        <item x="22"/>
        <item x="106"/>
        <item x="178"/>
        <item x="319"/>
        <item x="438"/>
        <item x="44"/>
        <item x="354"/>
        <item x="7"/>
        <item x="368"/>
        <item x="375"/>
        <item x="256"/>
        <item x="460"/>
        <item x="171"/>
        <item x="336"/>
        <item x="219"/>
        <item x="28"/>
        <item x="429"/>
        <item x="479"/>
        <item x="188"/>
        <item x="530"/>
        <item x="6"/>
        <item x="466"/>
        <item x="32"/>
        <item x="166"/>
        <item x="489"/>
        <item x="53"/>
        <item x="59"/>
        <item x="342"/>
        <item x="323"/>
        <item x="168"/>
        <item x="492"/>
        <item x="69"/>
        <item x="395"/>
        <item x="361"/>
        <item x="369"/>
        <item x="279"/>
        <item x="52"/>
        <item x="79"/>
        <item x="93"/>
        <item x="414"/>
        <item x="237"/>
        <item x="92"/>
        <item x="345"/>
        <item x="397"/>
        <item x="27"/>
        <item x="193"/>
        <item x="515"/>
        <item x="304"/>
        <item x="157"/>
        <item x="314"/>
        <item x="504"/>
        <item x="217"/>
        <item x="135"/>
        <item x="305"/>
        <item x="412"/>
        <item x="4"/>
        <item x="164"/>
        <item x="181"/>
        <item x="57"/>
        <item x="388"/>
        <item x="416"/>
        <item x="30"/>
        <item x="350"/>
        <item x="513"/>
        <item x="223"/>
        <item x="315"/>
        <item x="160"/>
        <item x="334"/>
        <item x="75"/>
        <item x="498"/>
        <item x="131"/>
        <item x="88"/>
        <item x="308"/>
        <item x="191"/>
        <item x="491"/>
        <item x="407"/>
        <item x="321"/>
        <item x="64"/>
        <item x="56"/>
        <item x="261"/>
        <item x="284"/>
        <item x="215"/>
        <item x="98"/>
        <item x="386"/>
        <item x="275"/>
        <item x="363"/>
        <item x="482"/>
        <item x="84"/>
        <item x="496"/>
        <item x="436"/>
        <item x="483"/>
        <item x="19"/>
        <item x="426"/>
        <item x="343"/>
        <item x="154"/>
        <item x="225"/>
        <item x="514"/>
        <item x="72"/>
        <item x="516"/>
        <item x="209"/>
        <item x="437"/>
        <item x="374"/>
        <item x="145"/>
        <item x="42"/>
        <item x="311"/>
        <item x="260"/>
        <item x="158"/>
        <item x="190"/>
        <item x="216"/>
        <item x="384"/>
        <item x="424"/>
        <item x="48"/>
        <item x="78"/>
        <item x="149"/>
        <item x="172"/>
        <item x="326"/>
        <item x="404"/>
        <item x="99"/>
        <item x="353"/>
        <item x="232"/>
        <item x="194"/>
        <item x="325"/>
        <item x="229"/>
        <item x="81"/>
        <item x="200"/>
        <item x="367"/>
        <item x="328"/>
        <item x="189"/>
        <item x="430"/>
        <item x="46"/>
        <item x="127"/>
        <item x="401"/>
        <item x="339"/>
        <item x="421"/>
        <item x="184"/>
        <item x="287"/>
        <item x="206"/>
        <item x="0"/>
        <item x="310"/>
        <item x="23"/>
        <item x="423"/>
        <item x="107"/>
        <item x="14"/>
        <item x="103"/>
        <item x="89"/>
        <item x="173"/>
        <item x="385"/>
        <item x="522"/>
        <item x="470"/>
        <item x="399"/>
        <item x="39"/>
        <item x="488"/>
        <item x="262"/>
        <item x="248"/>
        <item x="152"/>
        <item x="109"/>
        <item x="497"/>
        <item x="512"/>
        <item x="518"/>
        <item x="182"/>
        <item x="378"/>
        <item x="371"/>
        <item x="24"/>
        <item x="330"/>
        <item x="459"/>
        <item x="47"/>
        <item x="273"/>
        <item x="204"/>
        <item x="139"/>
        <item x="485"/>
        <item x="365"/>
        <item x="265"/>
        <item x="13"/>
        <item x="286"/>
        <item x="113"/>
        <item x="31"/>
        <item x="62"/>
        <item x="320"/>
        <item x="270"/>
        <item x="87"/>
        <item x="38"/>
        <item x="86"/>
        <item x="259"/>
        <item x="242"/>
        <item x="510"/>
        <item x="338"/>
        <item x="147"/>
        <item x="300"/>
        <item x="524"/>
        <item x="201"/>
        <item x="332"/>
        <item x="73"/>
        <item x="128"/>
        <item x="15"/>
        <item x="250"/>
        <item x="351"/>
        <item x="104"/>
        <item x="169"/>
        <item x="221"/>
        <item x="435"/>
        <item x="505"/>
        <item x="117"/>
        <item x="96"/>
        <item x="77"/>
        <item x="291"/>
        <item x="243"/>
        <item x="255"/>
        <item x="387"/>
        <item x="452"/>
        <item x="347"/>
        <item x="400"/>
        <item x="228"/>
        <item x="500"/>
        <item x="468"/>
        <item x="316"/>
        <item x="282"/>
        <item x="508"/>
        <item x="11"/>
        <item x="493"/>
        <item x="196"/>
        <item x="187"/>
        <item x="55"/>
        <item x="34"/>
        <item x="212"/>
        <item x="20"/>
        <item x="457"/>
        <item x="3"/>
        <item x="301"/>
        <item x="234"/>
        <item x="322"/>
        <item x="195"/>
        <item x="376"/>
        <item x="45"/>
        <item x="413"/>
        <item x="288"/>
        <item x="389"/>
        <item x="105"/>
        <item x="278"/>
        <item x="382"/>
        <item x="372"/>
        <item x="210"/>
        <item x="153"/>
        <item x="276"/>
        <item x="126"/>
        <item x="61"/>
        <item x="95"/>
        <item x="90"/>
        <item x="494"/>
        <item x="309"/>
        <item x="317"/>
        <item x="138"/>
        <item x="50"/>
        <item x="274"/>
        <item x="63"/>
        <item x="464"/>
        <item x="82"/>
        <item x="133"/>
        <item x="159"/>
        <item x="520"/>
        <item x="140"/>
        <item x="523"/>
        <item x="467"/>
        <item x="299"/>
        <item x="120"/>
        <item x="481"/>
        <item x="349"/>
        <item x="455"/>
        <item x="74"/>
        <item x="186"/>
        <item x="454"/>
        <item x="406"/>
        <item x="54"/>
        <item x="94"/>
        <item x="230"/>
        <item x="227"/>
        <item x="76"/>
        <item x="137"/>
        <item x="26"/>
        <item x="355"/>
        <item x="461"/>
        <item x="418"/>
        <item x="257"/>
        <item x="35"/>
        <item x="36"/>
        <item x="447"/>
        <item x="511"/>
        <item x="448"/>
        <item x="420"/>
        <item x="293"/>
        <item x="185"/>
        <item x="130"/>
        <item x="263"/>
        <item x="297"/>
        <item x="396"/>
        <item x="289"/>
        <item x="203"/>
        <item x="80"/>
        <item x="156"/>
        <item x="199"/>
        <item x="327"/>
        <item x="373"/>
        <item x="264"/>
        <item x="246"/>
        <item x="251"/>
        <item x="296"/>
        <item x="125"/>
        <item x="528"/>
        <item x="294"/>
        <item x="390"/>
        <item x="134"/>
        <item x="222"/>
        <item x="37"/>
        <item x="1"/>
        <item x="9"/>
        <item x="519"/>
        <item x="473"/>
        <item x="151"/>
        <item x="108"/>
        <item x="318"/>
        <item x="517"/>
        <item x="529"/>
        <item x="85"/>
        <item x="335"/>
        <item x="463"/>
        <item x="238"/>
        <item x="509"/>
        <item x="97"/>
        <item x="476"/>
        <item x="202"/>
        <item x="409"/>
        <item x="475"/>
        <item x="356"/>
        <item x="240"/>
        <item x="391"/>
        <item x="2"/>
        <item x="474"/>
        <item x="129"/>
        <item x="83"/>
        <item x="380"/>
        <item x="249"/>
        <item x="176"/>
        <item x="306"/>
        <item x="398"/>
        <item x="155"/>
        <item x="402"/>
        <item x="205"/>
        <item x="165"/>
        <item x="115"/>
        <item x="329"/>
        <item x="428"/>
        <item x="65"/>
        <item x="179"/>
        <item x="359"/>
        <item x="51"/>
        <item x="408"/>
        <item x="360"/>
        <item x="244"/>
        <item x="295"/>
        <item x="277"/>
        <item x="241"/>
        <item x="124"/>
        <item x="324"/>
        <item x="33"/>
        <item x="465"/>
        <item x="392"/>
        <item x="377"/>
        <item x="444"/>
        <item x="456"/>
        <item x="352"/>
        <item x="337"/>
        <item x="183"/>
        <item x="348"/>
        <item x="235"/>
        <item x="132"/>
        <item x="411"/>
        <item x="218"/>
        <item x="434"/>
        <item x="458"/>
        <item x="495"/>
        <item x="49"/>
        <item x="122"/>
        <item x="68"/>
        <item x="198"/>
        <item x="366"/>
        <item x="231"/>
        <item x="462"/>
        <item x="535"/>
        <item x="502"/>
        <item x="307"/>
        <item x="258"/>
        <item x="247"/>
        <item x="146"/>
        <item x="272"/>
        <item x="526"/>
        <item x="121"/>
        <item x="357"/>
        <item x="531"/>
        <item x="111"/>
        <item x="100"/>
        <item x="18"/>
        <item x="271"/>
        <item x="480"/>
        <item x="70"/>
        <item x="379"/>
        <item x="346"/>
        <item x="469"/>
        <item x="233"/>
        <item x="439"/>
        <item x="292"/>
        <item x="192"/>
        <item x="268"/>
        <item x="503"/>
        <item x="403"/>
        <item x="381"/>
        <item x="333"/>
        <item x="150"/>
        <item x="245"/>
        <item x="440"/>
        <item x="175"/>
        <item x="432"/>
        <item x="303"/>
        <item x="197"/>
        <item x="431"/>
        <item x="163"/>
        <item x="422"/>
        <item x="102"/>
        <item x="8"/>
        <item x="220"/>
        <item x="383"/>
        <item x="341"/>
        <item x="302"/>
        <item x="224"/>
        <item x="254"/>
        <item x="445"/>
        <item x="533"/>
        <item x="148"/>
        <item x="433"/>
        <item x="170"/>
        <item x="161"/>
        <item x="211"/>
        <item x="527"/>
        <item x="41"/>
        <item x="313"/>
        <item x="362"/>
        <item x="177"/>
        <item x="25"/>
        <item x="21"/>
        <item x="17"/>
        <item x="487"/>
        <item x="344"/>
        <item x="312"/>
        <item x="71"/>
        <item x="12"/>
        <item x="442"/>
        <item x="394"/>
        <item x="226"/>
        <item x="471"/>
        <item x="143"/>
        <item x="29"/>
        <item x="43"/>
        <item x="144"/>
        <item x="112"/>
        <item x="16"/>
        <item x="236"/>
        <item x="252"/>
        <item x="162"/>
        <item x="453"/>
        <item x="419"/>
        <item x="118"/>
        <item x="506"/>
        <item x="484"/>
        <item x="486"/>
        <item x="478"/>
        <item x="174"/>
        <item x="67"/>
        <item x="410"/>
        <item x="449"/>
        <item x="142"/>
        <item x="269"/>
        <item x="267"/>
        <item x="450"/>
        <item x="425"/>
        <item x="207"/>
        <item x="534"/>
        <item x="110"/>
        <item x="180"/>
        <item x="417"/>
        <item x="101"/>
        <item x="298"/>
        <item x="114"/>
        <item x="441"/>
        <item x="477"/>
        <item x="499"/>
        <item x="167"/>
        <item x="10"/>
        <item x="405"/>
        <item x="281"/>
        <item x="331"/>
        <item x="490"/>
        <item x="427"/>
        <item x="501"/>
        <item x="340"/>
        <item x="446"/>
        <item x="285"/>
        <item x="208"/>
        <item x="214"/>
        <item x="451"/>
        <item x="280"/>
        <item x="472"/>
        <item x="525"/>
        <item x="507"/>
        <item x="66"/>
        <item x="521"/>
        <item x="60"/>
        <item x="5"/>
        <item x="239"/>
        <item x="116"/>
        <item x="266"/>
        <item t="default"/>
      </items>
    </pivotField>
    <pivotField showAll="0"/>
    <pivotField showAll="0">
      <items count="17">
        <item x="7"/>
        <item x="11"/>
        <item x="10"/>
        <item x="12"/>
        <item x="15"/>
        <item x="4"/>
        <item x="0"/>
        <item x="8"/>
        <item x="9"/>
        <item x="14"/>
        <item x="5"/>
        <item x="2"/>
        <item x="13"/>
        <item x="1"/>
        <item x="3"/>
        <item x="6"/>
        <item t="default"/>
      </items>
    </pivotField>
    <pivotField showAll="0">
      <items count="13">
        <item x="11"/>
        <item x="5"/>
        <item x="3"/>
        <item x="10"/>
        <item x="6"/>
        <item x="1"/>
        <item x="8"/>
        <item x="7"/>
        <item x="9"/>
        <item x="0"/>
        <item x="2"/>
        <item x="4"/>
        <item t="default"/>
      </items>
    </pivotField>
    <pivotField showAll="0"/>
    <pivotField showAll="0"/>
    <pivotField showAll="0"/>
    <pivotField showAll="0"/>
    <pivotField dataField="1" numFmtId="4" showAll="0">
      <items count="331">
        <item x="264"/>
        <item x="31"/>
        <item x="192"/>
        <item x="280"/>
        <item x="131"/>
        <item x="91"/>
        <item x="184"/>
        <item x="19"/>
        <item x="203"/>
        <item x="289"/>
        <item x="199"/>
        <item x="166"/>
        <item x="265"/>
        <item x="95"/>
        <item x="70"/>
        <item x="266"/>
        <item x="172"/>
        <item x="40"/>
        <item x="18"/>
        <item x="57"/>
        <item x="159"/>
        <item x="251"/>
        <item x="55"/>
        <item x="119"/>
        <item x="193"/>
        <item x="82"/>
        <item x="133"/>
        <item x="155"/>
        <item x="128"/>
        <item x="107"/>
        <item x="294"/>
        <item x="205"/>
        <item x="129"/>
        <item x="51"/>
        <item x="115"/>
        <item x="94"/>
        <item x="104"/>
        <item x="67"/>
        <item x="271"/>
        <item x="6"/>
        <item x="202"/>
        <item x="34"/>
        <item x="149"/>
        <item x="44"/>
        <item x="135"/>
        <item x="153"/>
        <item x="183"/>
        <item x="14"/>
        <item x="71"/>
        <item x="144"/>
        <item x="32"/>
        <item x="260"/>
        <item x="298"/>
        <item x="238"/>
        <item x="33"/>
        <item x="142"/>
        <item x="219"/>
        <item x="243"/>
        <item x="77"/>
        <item x="296"/>
        <item x="151"/>
        <item x="256"/>
        <item x="209"/>
        <item x="242"/>
        <item x="187"/>
        <item x="117"/>
        <item x="249"/>
        <item x="164"/>
        <item x="175"/>
        <item x="27"/>
        <item x="68"/>
        <item x="61"/>
        <item x="41"/>
        <item x="140"/>
        <item x="21"/>
        <item x="120"/>
        <item x="165"/>
        <item x="146"/>
        <item x="278"/>
        <item x="308"/>
        <item x="97"/>
        <item x="4"/>
        <item x="241"/>
        <item x="309"/>
        <item x="111"/>
        <item x="99"/>
        <item x="114"/>
        <item x="37"/>
        <item x="329"/>
        <item x="319"/>
        <item x="110"/>
        <item x="83"/>
        <item x="254"/>
        <item x="9"/>
        <item x="2"/>
        <item x="324"/>
        <item x="143"/>
        <item x="288"/>
        <item x="220"/>
        <item x="88"/>
        <item x="148"/>
        <item x="274"/>
        <item x="103"/>
        <item x="124"/>
        <item x="39"/>
        <item x="214"/>
        <item x="277"/>
        <item x="5"/>
        <item x="305"/>
        <item x="318"/>
        <item x="72"/>
        <item x="287"/>
        <item x="116"/>
        <item x="112"/>
        <item x="236"/>
        <item x="321"/>
        <item x="237"/>
        <item x="178"/>
        <item x="162"/>
        <item x="36"/>
        <item x="89"/>
        <item x="224"/>
        <item x="198"/>
        <item x="284"/>
        <item x="190"/>
        <item x="62"/>
        <item x="169"/>
        <item x="204"/>
        <item x="98"/>
        <item x="22"/>
        <item x="253"/>
        <item x="50"/>
        <item x="170"/>
        <item x="156"/>
        <item x="317"/>
        <item x="15"/>
        <item x="81"/>
        <item x="85"/>
        <item x="157"/>
        <item x="59"/>
        <item x="66"/>
        <item x="234"/>
        <item x="245"/>
        <item x="141"/>
        <item x="229"/>
        <item x="54"/>
        <item x="263"/>
        <item x="125"/>
        <item x="315"/>
        <item x="3"/>
        <item x="160"/>
        <item x="240"/>
        <item x="200"/>
        <item x="171"/>
        <item x="13"/>
        <item x="176"/>
        <item x="230"/>
        <item x="106"/>
        <item x="20"/>
        <item x="75"/>
        <item x="16"/>
        <item x="228"/>
        <item x="53"/>
        <item x="215"/>
        <item x="258"/>
        <item x="320"/>
        <item x="268"/>
        <item x="255"/>
        <item x="262"/>
        <item x="206"/>
        <item x="173"/>
        <item x="225"/>
        <item x="180"/>
        <item x="325"/>
        <item x="191"/>
        <item x="300"/>
        <item x="127"/>
        <item x="207"/>
        <item x="47"/>
        <item x="259"/>
        <item x="306"/>
        <item x="292"/>
        <item x="10"/>
        <item x="314"/>
        <item x="76"/>
        <item x="322"/>
        <item x="113"/>
        <item x="42"/>
        <item x="17"/>
        <item x="186"/>
        <item x="73"/>
        <item x="26"/>
        <item x="0"/>
        <item x="293"/>
        <item x="87"/>
        <item x="56"/>
        <item x="212"/>
        <item x="312"/>
        <item x="247"/>
        <item x="132"/>
        <item x="161"/>
        <item x="101"/>
        <item x="28"/>
        <item x="147"/>
        <item x="233"/>
        <item x="210"/>
        <item x="137"/>
        <item x="45"/>
        <item x="195"/>
        <item x="181"/>
        <item x="313"/>
        <item x="261"/>
        <item x="239"/>
        <item x="307"/>
        <item x="299"/>
        <item x="250"/>
        <item x="58"/>
        <item x="235"/>
        <item x="188"/>
        <item x="316"/>
        <item x="189"/>
        <item x="23"/>
        <item x="138"/>
        <item x="226"/>
        <item x="244"/>
        <item x="213"/>
        <item x="96"/>
        <item x="38"/>
        <item x="168"/>
        <item x="86"/>
        <item x="167"/>
        <item x="48"/>
        <item x="273"/>
        <item x="11"/>
        <item x="201"/>
        <item x="78"/>
        <item x="276"/>
        <item x="63"/>
        <item x="100"/>
        <item x="60"/>
        <item x="49"/>
        <item x="327"/>
        <item x="182"/>
        <item x="69"/>
        <item x="64"/>
        <item x="248"/>
        <item x="270"/>
        <item x="102"/>
        <item x="24"/>
        <item x="8"/>
        <item x="139"/>
        <item x="279"/>
        <item x="12"/>
        <item x="328"/>
        <item x="179"/>
        <item x="295"/>
        <item x="158"/>
        <item x="109"/>
        <item x="275"/>
        <item x="123"/>
        <item x="282"/>
        <item x="25"/>
        <item x="145"/>
        <item x="194"/>
        <item x="218"/>
        <item x="46"/>
        <item x="303"/>
        <item x="154"/>
        <item x="35"/>
        <item x="208"/>
        <item x="122"/>
        <item x="105"/>
        <item x="126"/>
        <item x="80"/>
        <item x="108"/>
        <item x="231"/>
        <item x="281"/>
        <item x="272"/>
        <item x="150"/>
        <item x="7"/>
        <item x="304"/>
        <item x="177"/>
        <item x="163"/>
        <item x="257"/>
        <item x="65"/>
        <item x="121"/>
        <item x="79"/>
        <item x="227"/>
        <item x="134"/>
        <item x="283"/>
        <item x="232"/>
        <item x="90"/>
        <item x="152"/>
        <item x="301"/>
        <item x="311"/>
        <item x="130"/>
        <item x="197"/>
        <item x="267"/>
        <item x="30"/>
        <item x="217"/>
        <item x="297"/>
        <item x="302"/>
        <item x="84"/>
        <item x="216"/>
        <item x="74"/>
        <item x="1"/>
        <item x="222"/>
        <item x="196"/>
        <item x="118"/>
        <item x="136"/>
        <item x="221"/>
        <item x="252"/>
        <item x="52"/>
        <item x="211"/>
        <item x="290"/>
        <item x="223"/>
        <item x="174"/>
        <item x="291"/>
        <item x="92"/>
        <item x="93"/>
        <item x="185"/>
        <item x="310"/>
        <item x="269"/>
        <item x="323"/>
        <item x="286"/>
        <item x="246"/>
        <item x="43"/>
        <item x="326"/>
        <item x="285"/>
        <item x="29"/>
        <item t="default"/>
      </items>
    </pivotField>
    <pivotField showAll="0"/>
    <pivotField numFmtId="4" showAll="0"/>
    <pivotField numFmtId="4"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6"/>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9" baseField="0" baseItem="0" numFmtId="4"/>
    <dataField name="Count of Order ID"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527C9C-3489-4498-8E27-9FDC1E4608E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0:C24" firstHeaderRow="1" firstDataRow="1" firstDataCol="1"/>
  <pivotFields count="19">
    <pivotField showAll="0"/>
    <pivotField numFmtId="164" showAll="0">
      <items count="537">
        <item x="532"/>
        <item x="253"/>
        <item x="358"/>
        <item x="58"/>
        <item x="364"/>
        <item x="415"/>
        <item x="119"/>
        <item x="141"/>
        <item x="136"/>
        <item x="283"/>
        <item x="370"/>
        <item x="91"/>
        <item x="393"/>
        <item x="290"/>
        <item x="443"/>
        <item x="213"/>
        <item x="123"/>
        <item x="40"/>
        <item x="22"/>
        <item x="106"/>
        <item x="178"/>
        <item x="319"/>
        <item x="438"/>
        <item x="44"/>
        <item x="354"/>
        <item x="7"/>
        <item x="368"/>
        <item x="375"/>
        <item x="256"/>
        <item x="460"/>
        <item x="171"/>
        <item x="336"/>
        <item x="219"/>
        <item x="28"/>
        <item x="429"/>
        <item x="479"/>
        <item x="188"/>
        <item x="530"/>
        <item x="6"/>
        <item x="466"/>
        <item x="32"/>
        <item x="166"/>
        <item x="489"/>
        <item x="53"/>
        <item x="59"/>
        <item x="342"/>
        <item x="323"/>
        <item x="168"/>
        <item x="492"/>
        <item x="69"/>
        <item x="395"/>
        <item x="361"/>
        <item x="369"/>
        <item x="279"/>
        <item x="52"/>
        <item x="79"/>
        <item x="93"/>
        <item x="414"/>
        <item x="237"/>
        <item x="92"/>
        <item x="345"/>
        <item x="397"/>
        <item x="27"/>
        <item x="193"/>
        <item x="515"/>
        <item x="304"/>
        <item x="157"/>
        <item x="314"/>
        <item x="504"/>
        <item x="217"/>
        <item x="135"/>
        <item x="305"/>
        <item x="412"/>
        <item x="4"/>
        <item x="164"/>
        <item x="181"/>
        <item x="57"/>
        <item x="388"/>
        <item x="416"/>
        <item x="30"/>
        <item x="350"/>
        <item x="513"/>
        <item x="223"/>
        <item x="315"/>
        <item x="160"/>
        <item x="334"/>
        <item x="75"/>
        <item x="498"/>
        <item x="131"/>
        <item x="88"/>
        <item x="308"/>
        <item x="191"/>
        <item x="491"/>
        <item x="407"/>
        <item x="321"/>
        <item x="64"/>
        <item x="56"/>
        <item x="261"/>
        <item x="284"/>
        <item x="215"/>
        <item x="98"/>
        <item x="386"/>
        <item x="275"/>
        <item x="363"/>
        <item x="482"/>
        <item x="84"/>
        <item x="496"/>
        <item x="436"/>
        <item x="483"/>
        <item x="19"/>
        <item x="426"/>
        <item x="343"/>
        <item x="154"/>
        <item x="225"/>
        <item x="514"/>
        <item x="72"/>
        <item x="516"/>
        <item x="209"/>
        <item x="437"/>
        <item x="374"/>
        <item x="145"/>
        <item x="42"/>
        <item x="311"/>
        <item x="260"/>
        <item x="158"/>
        <item x="190"/>
        <item x="216"/>
        <item x="384"/>
        <item x="424"/>
        <item x="48"/>
        <item x="78"/>
        <item x="149"/>
        <item x="172"/>
        <item x="326"/>
        <item x="404"/>
        <item x="99"/>
        <item x="353"/>
        <item x="232"/>
        <item x="194"/>
        <item x="325"/>
        <item x="229"/>
        <item x="81"/>
        <item x="200"/>
        <item x="367"/>
        <item x="328"/>
        <item x="189"/>
        <item x="430"/>
        <item x="46"/>
        <item x="127"/>
        <item x="401"/>
        <item x="339"/>
        <item x="421"/>
        <item x="184"/>
        <item x="287"/>
        <item x="206"/>
        <item x="0"/>
        <item x="310"/>
        <item x="23"/>
        <item x="423"/>
        <item x="107"/>
        <item x="14"/>
        <item x="103"/>
        <item x="89"/>
        <item x="173"/>
        <item x="385"/>
        <item x="522"/>
        <item x="470"/>
        <item x="399"/>
        <item x="39"/>
        <item x="488"/>
        <item x="262"/>
        <item x="248"/>
        <item x="152"/>
        <item x="109"/>
        <item x="497"/>
        <item x="512"/>
        <item x="518"/>
        <item x="182"/>
        <item x="378"/>
        <item x="371"/>
        <item x="24"/>
        <item x="330"/>
        <item x="459"/>
        <item x="47"/>
        <item x="273"/>
        <item x="204"/>
        <item x="139"/>
        <item x="485"/>
        <item x="365"/>
        <item x="265"/>
        <item x="13"/>
        <item x="286"/>
        <item x="113"/>
        <item x="31"/>
        <item x="62"/>
        <item x="320"/>
        <item x="270"/>
        <item x="87"/>
        <item x="38"/>
        <item x="86"/>
        <item x="259"/>
        <item x="242"/>
        <item x="510"/>
        <item x="338"/>
        <item x="147"/>
        <item x="300"/>
        <item x="524"/>
        <item x="201"/>
        <item x="332"/>
        <item x="73"/>
        <item x="128"/>
        <item x="15"/>
        <item x="250"/>
        <item x="351"/>
        <item x="104"/>
        <item x="169"/>
        <item x="221"/>
        <item x="435"/>
        <item x="505"/>
        <item x="117"/>
        <item x="96"/>
        <item x="77"/>
        <item x="291"/>
        <item x="243"/>
        <item x="255"/>
        <item x="387"/>
        <item x="452"/>
        <item x="347"/>
        <item x="400"/>
        <item x="228"/>
        <item x="500"/>
        <item x="468"/>
        <item x="316"/>
        <item x="282"/>
        <item x="508"/>
        <item x="11"/>
        <item x="493"/>
        <item x="196"/>
        <item x="187"/>
        <item x="55"/>
        <item x="34"/>
        <item x="212"/>
        <item x="20"/>
        <item x="457"/>
        <item x="3"/>
        <item x="301"/>
        <item x="234"/>
        <item x="322"/>
        <item x="195"/>
        <item x="376"/>
        <item x="45"/>
        <item x="413"/>
        <item x="288"/>
        <item x="389"/>
        <item x="105"/>
        <item x="278"/>
        <item x="382"/>
        <item x="372"/>
        <item x="210"/>
        <item x="153"/>
        <item x="276"/>
        <item x="126"/>
        <item x="61"/>
        <item x="95"/>
        <item x="90"/>
        <item x="494"/>
        <item x="309"/>
        <item x="317"/>
        <item x="138"/>
        <item x="50"/>
        <item x="274"/>
        <item x="63"/>
        <item x="464"/>
        <item x="82"/>
        <item x="133"/>
        <item x="159"/>
        <item x="520"/>
        <item x="140"/>
        <item x="523"/>
        <item x="467"/>
        <item x="299"/>
        <item x="120"/>
        <item x="481"/>
        <item x="349"/>
        <item x="455"/>
        <item x="74"/>
        <item x="186"/>
        <item x="454"/>
        <item x="406"/>
        <item x="54"/>
        <item x="94"/>
        <item x="230"/>
        <item x="227"/>
        <item x="76"/>
        <item x="137"/>
        <item x="26"/>
        <item x="355"/>
        <item x="461"/>
        <item x="418"/>
        <item x="257"/>
        <item x="35"/>
        <item x="36"/>
        <item x="447"/>
        <item x="511"/>
        <item x="448"/>
        <item x="420"/>
        <item x="293"/>
        <item x="185"/>
        <item x="130"/>
        <item x="263"/>
        <item x="297"/>
        <item x="396"/>
        <item x="289"/>
        <item x="203"/>
        <item x="80"/>
        <item x="156"/>
        <item x="199"/>
        <item x="327"/>
        <item x="373"/>
        <item x="264"/>
        <item x="246"/>
        <item x="251"/>
        <item x="296"/>
        <item x="125"/>
        <item x="528"/>
        <item x="294"/>
        <item x="390"/>
        <item x="134"/>
        <item x="222"/>
        <item x="37"/>
        <item x="1"/>
        <item x="9"/>
        <item x="519"/>
        <item x="473"/>
        <item x="151"/>
        <item x="108"/>
        <item x="318"/>
        <item x="517"/>
        <item x="529"/>
        <item x="85"/>
        <item x="335"/>
        <item x="463"/>
        <item x="238"/>
        <item x="509"/>
        <item x="97"/>
        <item x="476"/>
        <item x="202"/>
        <item x="409"/>
        <item x="475"/>
        <item x="356"/>
        <item x="240"/>
        <item x="391"/>
        <item x="2"/>
        <item x="474"/>
        <item x="129"/>
        <item x="83"/>
        <item x="380"/>
        <item x="249"/>
        <item x="176"/>
        <item x="306"/>
        <item x="398"/>
        <item x="155"/>
        <item x="402"/>
        <item x="205"/>
        <item x="165"/>
        <item x="115"/>
        <item x="329"/>
        <item x="428"/>
        <item x="65"/>
        <item x="179"/>
        <item x="359"/>
        <item x="51"/>
        <item x="408"/>
        <item x="360"/>
        <item x="244"/>
        <item x="295"/>
        <item x="277"/>
        <item x="241"/>
        <item x="124"/>
        <item x="324"/>
        <item x="33"/>
        <item x="465"/>
        <item x="392"/>
        <item x="377"/>
        <item x="444"/>
        <item x="456"/>
        <item x="352"/>
        <item x="337"/>
        <item x="183"/>
        <item x="348"/>
        <item x="235"/>
        <item x="132"/>
        <item x="411"/>
        <item x="218"/>
        <item x="434"/>
        <item x="458"/>
        <item x="495"/>
        <item x="49"/>
        <item x="122"/>
        <item x="68"/>
        <item x="198"/>
        <item x="366"/>
        <item x="231"/>
        <item x="462"/>
        <item x="535"/>
        <item x="502"/>
        <item x="307"/>
        <item x="258"/>
        <item x="247"/>
        <item x="146"/>
        <item x="272"/>
        <item x="526"/>
        <item x="121"/>
        <item x="357"/>
        <item x="531"/>
        <item x="111"/>
        <item x="100"/>
        <item x="18"/>
        <item x="271"/>
        <item x="480"/>
        <item x="70"/>
        <item x="379"/>
        <item x="346"/>
        <item x="469"/>
        <item x="233"/>
        <item x="439"/>
        <item x="292"/>
        <item x="192"/>
        <item x="268"/>
        <item x="503"/>
        <item x="403"/>
        <item x="381"/>
        <item x="333"/>
        <item x="150"/>
        <item x="245"/>
        <item x="440"/>
        <item x="175"/>
        <item x="432"/>
        <item x="303"/>
        <item x="197"/>
        <item x="431"/>
        <item x="163"/>
        <item x="422"/>
        <item x="102"/>
        <item x="8"/>
        <item x="220"/>
        <item x="383"/>
        <item x="341"/>
        <item x="302"/>
        <item x="224"/>
        <item x="254"/>
        <item x="445"/>
        <item x="533"/>
        <item x="148"/>
        <item x="433"/>
        <item x="170"/>
        <item x="161"/>
        <item x="211"/>
        <item x="527"/>
        <item x="41"/>
        <item x="313"/>
        <item x="362"/>
        <item x="177"/>
        <item x="25"/>
        <item x="21"/>
        <item x="17"/>
        <item x="487"/>
        <item x="344"/>
        <item x="312"/>
        <item x="71"/>
        <item x="12"/>
        <item x="442"/>
        <item x="394"/>
        <item x="226"/>
        <item x="471"/>
        <item x="143"/>
        <item x="29"/>
        <item x="43"/>
        <item x="144"/>
        <item x="112"/>
        <item x="16"/>
        <item x="236"/>
        <item x="252"/>
        <item x="162"/>
        <item x="453"/>
        <item x="419"/>
        <item x="118"/>
        <item x="506"/>
        <item x="484"/>
        <item x="486"/>
        <item x="478"/>
        <item x="174"/>
        <item x="67"/>
        <item x="410"/>
        <item x="449"/>
        <item x="142"/>
        <item x="269"/>
        <item x="267"/>
        <item x="450"/>
        <item x="425"/>
        <item x="207"/>
        <item x="534"/>
        <item x="110"/>
        <item x="180"/>
        <item x="417"/>
        <item x="101"/>
        <item x="298"/>
        <item x="114"/>
        <item x="441"/>
        <item x="477"/>
        <item x="499"/>
        <item x="167"/>
        <item x="10"/>
        <item x="405"/>
        <item x="281"/>
        <item x="331"/>
        <item x="490"/>
        <item x="427"/>
        <item x="501"/>
        <item x="340"/>
        <item x="446"/>
        <item x="285"/>
        <item x="208"/>
        <item x="214"/>
        <item x="451"/>
        <item x="280"/>
        <item x="472"/>
        <item x="525"/>
        <item x="507"/>
        <item x="66"/>
        <item x="521"/>
        <item x="60"/>
        <item x="5"/>
        <item x="239"/>
        <item x="116"/>
        <item x="266"/>
        <item t="default"/>
      </items>
    </pivotField>
    <pivotField showAll="0"/>
    <pivotField showAll="0">
      <items count="17">
        <item x="7"/>
        <item x="11"/>
        <item x="10"/>
        <item x="12"/>
        <item x="15"/>
        <item x="4"/>
        <item x="0"/>
        <item x="8"/>
        <item x="9"/>
        <item x="14"/>
        <item x="5"/>
        <item x="2"/>
        <item x="13"/>
        <item x="1"/>
        <item x="3"/>
        <item x="6"/>
        <item t="default"/>
      </items>
    </pivotField>
    <pivotField showAll="0">
      <items count="13">
        <item x="11"/>
        <item x="5"/>
        <item x="3"/>
        <item x="10"/>
        <item x="6"/>
        <item x="1"/>
        <item x="8"/>
        <item x="7"/>
        <item x="9"/>
        <item x="0"/>
        <item x="2"/>
        <item x="4"/>
        <item t="default"/>
      </items>
    </pivotField>
    <pivotField showAll="0"/>
    <pivotField showAll="0"/>
    <pivotField showAll="0"/>
    <pivotField showAll="0"/>
    <pivotField dataField="1" numFmtId="4" showAll="0">
      <items count="331">
        <item x="264"/>
        <item x="31"/>
        <item x="192"/>
        <item x="280"/>
        <item x="131"/>
        <item x="91"/>
        <item x="184"/>
        <item x="19"/>
        <item x="203"/>
        <item x="289"/>
        <item x="199"/>
        <item x="166"/>
        <item x="265"/>
        <item x="95"/>
        <item x="70"/>
        <item x="266"/>
        <item x="172"/>
        <item x="40"/>
        <item x="18"/>
        <item x="57"/>
        <item x="159"/>
        <item x="251"/>
        <item x="55"/>
        <item x="119"/>
        <item x="193"/>
        <item x="82"/>
        <item x="133"/>
        <item x="155"/>
        <item x="128"/>
        <item x="107"/>
        <item x="294"/>
        <item x="205"/>
        <item x="129"/>
        <item x="51"/>
        <item x="115"/>
        <item x="94"/>
        <item x="104"/>
        <item x="67"/>
        <item x="271"/>
        <item x="6"/>
        <item x="202"/>
        <item x="34"/>
        <item x="149"/>
        <item x="44"/>
        <item x="135"/>
        <item x="153"/>
        <item x="183"/>
        <item x="14"/>
        <item x="71"/>
        <item x="144"/>
        <item x="32"/>
        <item x="260"/>
        <item x="298"/>
        <item x="238"/>
        <item x="33"/>
        <item x="142"/>
        <item x="219"/>
        <item x="243"/>
        <item x="77"/>
        <item x="296"/>
        <item x="151"/>
        <item x="256"/>
        <item x="209"/>
        <item x="242"/>
        <item x="187"/>
        <item x="117"/>
        <item x="249"/>
        <item x="164"/>
        <item x="175"/>
        <item x="27"/>
        <item x="68"/>
        <item x="61"/>
        <item x="41"/>
        <item x="140"/>
        <item x="21"/>
        <item x="120"/>
        <item x="165"/>
        <item x="146"/>
        <item x="278"/>
        <item x="308"/>
        <item x="97"/>
        <item x="4"/>
        <item x="241"/>
        <item x="309"/>
        <item x="111"/>
        <item x="99"/>
        <item x="114"/>
        <item x="37"/>
        <item x="329"/>
        <item x="319"/>
        <item x="110"/>
        <item x="83"/>
        <item x="254"/>
        <item x="9"/>
        <item x="2"/>
        <item x="324"/>
        <item x="143"/>
        <item x="288"/>
        <item x="220"/>
        <item x="88"/>
        <item x="148"/>
        <item x="274"/>
        <item x="103"/>
        <item x="124"/>
        <item x="39"/>
        <item x="214"/>
        <item x="277"/>
        <item x="5"/>
        <item x="305"/>
        <item x="318"/>
        <item x="72"/>
        <item x="287"/>
        <item x="116"/>
        <item x="112"/>
        <item x="236"/>
        <item x="321"/>
        <item x="237"/>
        <item x="178"/>
        <item x="162"/>
        <item x="36"/>
        <item x="89"/>
        <item x="224"/>
        <item x="198"/>
        <item x="284"/>
        <item x="190"/>
        <item x="62"/>
        <item x="169"/>
        <item x="204"/>
        <item x="98"/>
        <item x="22"/>
        <item x="253"/>
        <item x="50"/>
        <item x="170"/>
        <item x="156"/>
        <item x="317"/>
        <item x="15"/>
        <item x="81"/>
        <item x="85"/>
        <item x="157"/>
        <item x="59"/>
        <item x="66"/>
        <item x="234"/>
        <item x="245"/>
        <item x="141"/>
        <item x="229"/>
        <item x="54"/>
        <item x="263"/>
        <item x="125"/>
        <item x="315"/>
        <item x="3"/>
        <item x="160"/>
        <item x="240"/>
        <item x="200"/>
        <item x="171"/>
        <item x="13"/>
        <item x="176"/>
        <item x="230"/>
        <item x="106"/>
        <item x="20"/>
        <item x="75"/>
        <item x="16"/>
        <item x="228"/>
        <item x="53"/>
        <item x="215"/>
        <item x="258"/>
        <item x="320"/>
        <item x="268"/>
        <item x="255"/>
        <item x="262"/>
        <item x="206"/>
        <item x="173"/>
        <item x="225"/>
        <item x="180"/>
        <item x="325"/>
        <item x="191"/>
        <item x="300"/>
        <item x="127"/>
        <item x="207"/>
        <item x="47"/>
        <item x="259"/>
        <item x="306"/>
        <item x="292"/>
        <item x="10"/>
        <item x="314"/>
        <item x="76"/>
        <item x="322"/>
        <item x="113"/>
        <item x="42"/>
        <item x="17"/>
        <item x="186"/>
        <item x="73"/>
        <item x="26"/>
        <item x="0"/>
        <item x="293"/>
        <item x="87"/>
        <item x="56"/>
        <item x="212"/>
        <item x="312"/>
        <item x="247"/>
        <item x="132"/>
        <item x="161"/>
        <item x="101"/>
        <item x="28"/>
        <item x="147"/>
        <item x="233"/>
        <item x="210"/>
        <item x="137"/>
        <item x="45"/>
        <item x="195"/>
        <item x="181"/>
        <item x="313"/>
        <item x="261"/>
        <item x="239"/>
        <item x="307"/>
        <item x="299"/>
        <item x="250"/>
        <item x="58"/>
        <item x="235"/>
        <item x="188"/>
        <item x="316"/>
        <item x="189"/>
        <item x="23"/>
        <item x="138"/>
        <item x="226"/>
        <item x="244"/>
        <item x="213"/>
        <item x="96"/>
        <item x="38"/>
        <item x="168"/>
        <item x="86"/>
        <item x="167"/>
        <item x="48"/>
        <item x="273"/>
        <item x="11"/>
        <item x="201"/>
        <item x="78"/>
        <item x="276"/>
        <item x="63"/>
        <item x="100"/>
        <item x="60"/>
        <item x="49"/>
        <item x="327"/>
        <item x="182"/>
        <item x="69"/>
        <item x="64"/>
        <item x="248"/>
        <item x="270"/>
        <item x="102"/>
        <item x="24"/>
        <item x="8"/>
        <item x="139"/>
        <item x="279"/>
        <item x="12"/>
        <item x="328"/>
        <item x="179"/>
        <item x="295"/>
        <item x="158"/>
        <item x="109"/>
        <item x="275"/>
        <item x="123"/>
        <item x="282"/>
        <item x="25"/>
        <item x="145"/>
        <item x="194"/>
        <item x="218"/>
        <item x="46"/>
        <item x="303"/>
        <item x="154"/>
        <item x="35"/>
        <item x="208"/>
        <item x="122"/>
        <item x="105"/>
        <item x="126"/>
        <item x="80"/>
        <item x="108"/>
        <item x="231"/>
        <item x="281"/>
        <item x="272"/>
        <item x="150"/>
        <item x="7"/>
        <item x="304"/>
        <item x="177"/>
        <item x="163"/>
        <item x="257"/>
        <item x="65"/>
        <item x="121"/>
        <item x="79"/>
        <item x="227"/>
        <item x="134"/>
        <item x="283"/>
        <item x="232"/>
        <item x="90"/>
        <item x="152"/>
        <item x="301"/>
        <item x="311"/>
        <item x="130"/>
        <item x="197"/>
        <item x="267"/>
        <item x="30"/>
        <item x="217"/>
        <item x="297"/>
        <item x="302"/>
        <item x="84"/>
        <item x="216"/>
        <item x="74"/>
        <item x="1"/>
        <item x="222"/>
        <item x="196"/>
        <item x="118"/>
        <item x="136"/>
        <item x="221"/>
        <item x="252"/>
        <item x="52"/>
        <item x="211"/>
        <item x="290"/>
        <item x="223"/>
        <item x="174"/>
        <item x="291"/>
        <item x="92"/>
        <item x="93"/>
        <item x="185"/>
        <item x="310"/>
        <item x="269"/>
        <item x="323"/>
        <item x="286"/>
        <item x="246"/>
        <item x="43"/>
        <item x="326"/>
        <item x="285"/>
        <item x="29"/>
        <item t="default"/>
      </items>
    </pivotField>
    <pivotField showAll="0"/>
    <pivotField numFmtId="4" showAll="0"/>
    <pivotField numFmtId="4" showAll="0"/>
    <pivotField showAll="0"/>
    <pivotField showAll="0"/>
    <pivotField axis="axisRow" showAll="0">
      <items count="4">
        <item x="2"/>
        <item x="1"/>
        <item x="0"/>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5"/>
  </rowFields>
  <rowItems count="4">
    <i>
      <x/>
    </i>
    <i>
      <x v="1"/>
    </i>
    <i>
      <x v="2"/>
    </i>
    <i t="grand">
      <x/>
    </i>
  </rowItems>
  <colItems count="1">
    <i/>
  </colItems>
  <dataFields count="1">
    <dataField name="Sum of Sales" fld="9" baseField="0" baseItem="0" numFmtId="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CD836A-B84A-4C84-B5F6-7EE33744864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3:Q10" firstHeaderRow="1" firstDataRow="2" firstDataCol="1"/>
  <pivotFields count="19">
    <pivotField dataField="1" showAll="0">
      <items count="1001">
        <item x="0"/>
        <item x="1"/>
        <item x="2"/>
        <item x="3"/>
        <item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h="1" x="985"/>
        <item h="1" x="986"/>
        <item h="1" x="987"/>
        <item h="1" x="988"/>
        <item h="1" x="989"/>
        <item h="1" x="990"/>
        <item h="1" x="991"/>
        <item h="1" x="992"/>
        <item h="1" x="993"/>
        <item h="1" x="994"/>
        <item h="1" x="995"/>
        <item h="1" x="996"/>
        <item h="1" x="997"/>
        <item h="1" x="998"/>
        <item h="1" x="999"/>
        <item t="default"/>
      </items>
    </pivotField>
    <pivotField numFmtId="164" showAll="0">
      <items count="537">
        <item x="532"/>
        <item x="253"/>
        <item x="358"/>
        <item x="58"/>
        <item x="364"/>
        <item x="415"/>
        <item x="119"/>
        <item x="141"/>
        <item x="136"/>
        <item x="283"/>
        <item x="370"/>
        <item x="91"/>
        <item x="393"/>
        <item x="290"/>
        <item x="443"/>
        <item x="213"/>
        <item x="123"/>
        <item x="40"/>
        <item x="22"/>
        <item x="106"/>
        <item x="178"/>
        <item x="319"/>
        <item x="438"/>
        <item x="44"/>
        <item x="354"/>
        <item x="7"/>
        <item x="368"/>
        <item x="375"/>
        <item x="256"/>
        <item x="460"/>
        <item x="171"/>
        <item x="336"/>
        <item x="219"/>
        <item x="28"/>
        <item x="429"/>
        <item x="479"/>
        <item x="188"/>
        <item x="530"/>
        <item x="6"/>
        <item x="466"/>
        <item x="32"/>
        <item x="166"/>
        <item x="489"/>
        <item x="53"/>
        <item x="59"/>
        <item x="342"/>
        <item x="323"/>
        <item x="168"/>
        <item x="492"/>
        <item x="69"/>
        <item x="395"/>
        <item x="361"/>
        <item x="369"/>
        <item x="279"/>
        <item x="52"/>
        <item x="79"/>
        <item x="93"/>
        <item x="414"/>
        <item x="237"/>
        <item x="92"/>
        <item x="345"/>
        <item x="397"/>
        <item x="27"/>
        <item x="193"/>
        <item x="515"/>
        <item x="304"/>
        <item x="157"/>
        <item x="314"/>
        <item x="504"/>
        <item x="217"/>
        <item x="135"/>
        <item x="305"/>
        <item x="412"/>
        <item x="4"/>
        <item x="164"/>
        <item x="181"/>
        <item x="57"/>
        <item x="388"/>
        <item x="416"/>
        <item x="30"/>
        <item x="350"/>
        <item x="513"/>
        <item x="223"/>
        <item x="315"/>
        <item x="160"/>
        <item x="334"/>
        <item x="75"/>
        <item x="498"/>
        <item x="131"/>
        <item x="88"/>
        <item x="308"/>
        <item x="191"/>
        <item x="491"/>
        <item x="407"/>
        <item x="321"/>
        <item x="64"/>
        <item x="56"/>
        <item x="261"/>
        <item x="284"/>
        <item x="215"/>
        <item x="98"/>
        <item x="386"/>
        <item x="275"/>
        <item x="363"/>
        <item x="482"/>
        <item x="84"/>
        <item x="496"/>
        <item x="436"/>
        <item x="483"/>
        <item x="19"/>
        <item x="426"/>
        <item x="343"/>
        <item x="154"/>
        <item x="225"/>
        <item x="514"/>
        <item x="72"/>
        <item x="516"/>
        <item x="209"/>
        <item x="437"/>
        <item x="374"/>
        <item x="145"/>
        <item x="42"/>
        <item x="311"/>
        <item x="260"/>
        <item x="158"/>
        <item x="190"/>
        <item x="216"/>
        <item x="384"/>
        <item x="424"/>
        <item x="48"/>
        <item x="78"/>
        <item x="149"/>
        <item x="172"/>
        <item x="326"/>
        <item x="404"/>
        <item x="99"/>
        <item x="353"/>
        <item x="232"/>
        <item x="194"/>
        <item x="325"/>
        <item x="229"/>
        <item x="81"/>
        <item x="200"/>
        <item x="367"/>
        <item x="328"/>
        <item x="189"/>
        <item x="430"/>
        <item x="46"/>
        <item x="127"/>
        <item x="401"/>
        <item x="339"/>
        <item x="421"/>
        <item x="184"/>
        <item x="287"/>
        <item x="206"/>
        <item x="0"/>
        <item x="310"/>
        <item x="23"/>
        <item x="423"/>
        <item x="107"/>
        <item x="14"/>
        <item x="103"/>
        <item x="89"/>
        <item x="173"/>
        <item x="385"/>
        <item x="522"/>
        <item x="470"/>
        <item x="399"/>
        <item x="39"/>
        <item x="488"/>
        <item x="262"/>
        <item x="248"/>
        <item x="152"/>
        <item x="109"/>
        <item x="497"/>
        <item x="512"/>
        <item x="518"/>
        <item x="182"/>
        <item x="378"/>
        <item x="371"/>
        <item x="24"/>
        <item x="330"/>
        <item x="459"/>
        <item x="47"/>
        <item x="273"/>
        <item x="204"/>
        <item x="139"/>
        <item x="485"/>
        <item x="365"/>
        <item x="265"/>
        <item x="13"/>
        <item x="286"/>
        <item x="113"/>
        <item x="31"/>
        <item x="62"/>
        <item x="320"/>
        <item x="270"/>
        <item x="87"/>
        <item x="38"/>
        <item x="86"/>
        <item x="259"/>
        <item x="242"/>
        <item x="510"/>
        <item x="338"/>
        <item x="147"/>
        <item x="300"/>
        <item x="524"/>
        <item x="201"/>
        <item x="332"/>
        <item x="73"/>
        <item x="128"/>
        <item x="15"/>
        <item x="250"/>
        <item x="351"/>
        <item x="104"/>
        <item x="169"/>
        <item x="221"/>
        <item x="435"/>
        <item x="505"/>
        <item x="117"/>
        <item x="96"/>
        <item x="77"/>
        <item x="291"/>
        <item x="243"/>
        <item x="255"/>
        <item x="387"/>
        <item x="452"/>
        <item x="347"/>
        <item x="400"/>
        <item x="228"/>
        <item x="500"/>
        <item x="468"/>
        <item x="316"/>
        <item x="282"/>
        <item x="508"/>
        <item x="11"/>
        <item x="493"/>
        <item x="196"/>
        <item x="187"/>
        <item x="55"/>
        <item x="34"/>
        <item x="212"/>
        <item x="20"/>
        <item x="457"/>
        <item x="3"/>
        <item x="301"/>
        <item x="234"/>
        <item x="322"/>
        <item x="195"/>
        <item x="376"/>
        <item x="45"/>
        <item x="413"/>
        <item x="288"/>
        <item x="389"/>
        <item x="105"/>
        <item x="278"/>
        <item x="382"/>
        <item x="372"/>
        <item x="210"/>
        <item x="153"/>
        <item x="276"/>
        <item x="126"/>
        <item x="61"/>
        <item x="95"/>
        <item x="90"/>
        <item x="494"/>
        <item x="309"/>
        <item x="317"/>
        <item x="138"/>
        <item x="50"/>
        <item x="274"/>
        <item x="63"/>
        <item x="464"/>
        <item x="82"/>
        <item x="133"/>
        <item x="159"/>
        <item x="520"/>
        <item x="140"/>
        <item x="523"/>
        <item x="467"/>
        <item x="299"/>
        <item x="120"/>
        <item x="481"/>
        <item x="349"/>
        <item x="455"/>
        <item x="74"/>
        <item x="186"/>
        <item x="454"/>
        <item x="406"/>
        <item x="54"/>
        <item x="94"/>
        <item x="230"/>
        <item x="227"/>
        <item x="76"/>
        <item x="137"/>
        <item x="26"/>
        <item x="355"/>
        <item x="461"/>
        <item x="418"/>
        <item x="257"/>
        <item x="35"/>
        <item x="36"/>
        <item x="447"/>
        <item x="511"/>
        <item x="448"/>
        <item x="420"/>
        <item x="293"/>
        <item x="185"/>
        <item x="130"/>
        <item x="263"/>
        <item x="297"/>
        <item x="396"/>
        <item x="289"/>
        <item x="203"/>
        <item x="80"/>
        <item x="156"/>
        <item x="199"/>
        <item x="327"/>
        <item x="373"/>
        <item x="264"/>
        <item x="246"/>
        <item x="251"/>
        <item x="296"/>
        <item x="125"/>
        <item x="528"/>
        <item x="294"/>
        <item x="390"/>
        <item x="134"/>
        <item x="222"/>
        <item x="37"/>
        <item x="1"/>
        <item x="9"/>
        <item x="519"/>
        <item x="473"/>
        <item x="151"/>
        <item x="108"/>
        <item x="318"/>
        <item x="517"/>
        <item x="529"/>
        <item x="85"/>
        <item x="335"/>
        <item x="463"/>
        <item x="238"/>
        <item x="509"/>
        <item x="97"/>
        <item x="476"/>
        <item x="202"/>
        <item x="409"/>
        <item x="475"/>
        <item x="356"/>
        <item x="240"/>
        <item x="391"/>
        <item x="2"/>
        <item x="474"/>
        <item x="129"/>
        <item x="83"/>
        <item x="380"/>
        <item x="249"/>
        <item x="176"/>
        <item x="306"/>
        <item x="398"/>
        <item x="155"/>
        <item x="402"/>
        <item x="205"/>
        <item x="165"/>
        <item x="115"/>
        <item x="329"/>
        <item x="428"/>
        <item x="65"/>
        <item x="179"/>
        <item x="359"/>
        <item x="51"/>
        <item x="408"/>
        <item x="360"/>
        <item x="244"/>
        <item x="295"/>
        <item x="277"/>
        <item x="241"/>
        <item x="124"/>
        <item x="324"/>
        <item x="33"/>
        <item x="465"/>
        <item x="392"/>
        <item x="377"/>
        <item x="444"/>
        <item x="456"/>
        <item x="352"/>
        <item x="337"/>
        <item x="183"/>
        <item x="348"/>
        <item x="235"/>
        <item x="132"/>
        <item x="411"/>
        <item x="218"/>
        <item x="434"/>
        <item x="458"/>
        <item x="495"/>
        <item x="49"/>
        <item x="122"/>
        <item x="68"/>
        <item x="198"/>
        <item x="366"/>
        <item x="231"/>
        <item x="462"/>
        <item x="535"/>
        <item x="502"/>
        <item x="307"/>
        <item x="258"/>
        <item x="247"/>
        <item x="146"/>
        <item x="272"/>
        <item x="526"/>
        <item x="121"/>
        <item x="357"/>
        <item x="531"/>
        <item x="111"/>
        <item x="100"/>
        <item x="18"/>
        <item x="271"/>
        <item x="480"/>
        <item x="70"/>
        <item x="379"/>
        <item x="346"/>
        <item x="469"/>
        <item x="233"/>
        <item x="439"/>
        <item x="292"/>
        <item x="192"/>
        <item x="268"/>
        <item x="503"/>
        <item x="403"/>
        <item x="381"/>
        <item x="333"/>
        <item x="150"/>
        <item x="245"/>
        <item x="440"/>
        <item x="175"/>
        <item x="432"/>
        <item x="303"/>
        <item x="197"/>
        <item x="431"/>
        <item x="163"/>
        <item x="422"/>
        <item x="102"/>
        <item x="8"/>
        <item x="220"/>
        <item x="383"/>
        <item x="341"/>
        <item x="302"/>
        <item x="224"/>
        <item x="254"/>
        <item x="445"/>
        <item x="533"/>
        <item x="148"/>
        <item x="433"/>
        <item x="170"/>
        <item x="161"/>
        <item x="211"/>
        <item x="527"/>
        <item x="41"/>
        <item x="313"/>
        <item x="362"/>
        <item x="177"/>
        <item x="25"/>
        <item x="21"/>
        <item x="17"/>
        <item x="487"/>
        <item x="344"/>
        <item x="312"/>
        <item x="71"/>
        <item x="12"/>
        <item x="442"/>
        <item x="394"/>
        <item x="226"/>
        <item x="471"/>
        <item x="143"/>
        <item x="29"/>
        <item x="43"/>
        <item x="144"/>
        <item x="112"/>
        <item x="16"/>
        <item x="236"/>
        <item x="252"/>
        <item x="162"/>
        <item x="453"/>
        <item x="419"/>
        <item x="118"/>
        <item x="506"/>
        <item x="484"/>
        <item x="486"/>
        <item x="478"/>
        <item x="174"/>
        <item x="67"/>
        <item x="410"/>
        <item x="449"/>
        <item x="142"/>
        <item x="269"/>
        <item x="267"/>
        <item x="450"/>
        <item x="425"/>
        <item x="207"/>
        <item x="534"/>
        <item x="110"/>
        <item x="180"/>
        <item x="417"/>
        <item x="101"/>
        <item x="298"/>
        <item x="114"/>
        <item x="441"/>
        <item x="477"/>
        <item x="499"/>
        <item x="167"/>
        <item x="10"/>
        <item x="405"/>
        <item x="281"/>
        <item x="331"/>
        <item x="490"/>
        <item x="427"/>
        <item x="501"/>
        <item x="340"/>
        <item x="446"/>
        <item x="285"/>
        <item x="208"/>
        <item x="214"/>
        <item x="451"/>
        <item x="280"/>
        <item x="472"/>
        <item x="525"/>
        <item x="507"/>
        <item x="66"/>
        <item x="521"/>
        <item x="60"/>
        <item x="5"/>
        <item x="239"/>
        <item x="116"/>
        <item x="266"/>
        <item t="default"/>
      </items>
    </pivotField>
    <pivotField showAll="0"/>
    <pivotField showAll="0">
      <items count="17">
        <item x="7"/>
        <item x="11"/>
        <item x="10"/>
        <item x="12"/>
        <item x="15"/>
        <item x="4"/>
        <item x="0"/>
        <item x="8"/>
        <item x="9"/>
        <item x="14"/>
        <item x="5"/>
        <item x="2"/>
        <item x="13"/>
        <item x="1"/>
        <item x="3"/>
        <item x="6"/>
        <item t="default"/>
      </items>
    </pivotField>
    <pivotField showAll="0">
      <items count="13">
        <item x="11"/>
        <item x="5"/>
        <item x="3"/>
        <item x="10"/>
        <item x="6"/>
        <item x="1"/>
        <item x="8"/>
        <item x="7"/>
        <item x="9"/>
        <item x="0"/>
        <item x="2"/>
        <item x="4"/>
        <item t="default"/>
      </items>
    </pivotField>
    <pivotField showAll="0">
      <items count="6">
        <item x="4"/>
        <item x="3"/>
        <item x="2"/>
        <item x="0"/>
        <item x="1"/>
        <item t="default"/>
      </items>
    </pivotField>
    <pivotField axis="axisCol" showAll="0">
      <items count="6">
        <item x="2"/>
        <item x="1"/>
        <item x="4"/>
        <item x="0"/>
        <item x="3"/>
        <item t="default"/>
      </items>
    </pivotField>
    <pivotField showAll="0"/>
    <pivotField showAll="0">
      <items count="23">
        <item x="12"/>
        <item x="13"/>
        <item x="2"/>
        <item x="17"/>
        <item x="20"/>
        <item x="18"/>
        <item x="9"/>
        <item x="10"/>
        <item x="14"/>
        <item x="21"/>
        <item x="3"/>
        <item x="19"/>
        <item x="11"/>
        <item x="4"/>
        <item x="8"/>
        <item x="5"/>
        <item x="7"/>
        <item x="1"/>
        <item x="15"/>
        <item x="6"/>
        <item x="0"/>
        <item x="16"/>
        <item t="default"/>
      </items>
    </pivotField>
    <pivotField numFmtId="4" showAll="0">
      <items count="331">
        <item x="264"/>
        <item x="31"/>
        <item x="192"/>
        <item x="280"/>
        <item x="131"/>
        <item x="91"/>
        <item x="184"/>
        <item x="19"/>
        <item x="203"/>
        <item x="289"/>
        <item x="199"/>
        <item x="166"/>
        <item x="265"/>
        <item x="95"/>
        <item x="70"/>
        <item x="266"/>
        <item x="172"/>
        <item x="40"/>
        <item x="18"/>
        <item x="57"/>
        <item x="159"/>
        <item x="251"/>
        <item x="55"/>
        <item x="119"/>
        <item x="193"/>
        <item x="82"/>
        <item x="133"/>
        <item x="155"/>
        <item x="128"/>
        <item x="107"/>
        <item x="294"/>
        <item x="205"/>
        <item x="129"/>
        <item x="51"/>
        <item x="115"/>
        <item x="94"/>
        <item x="104"/>
        <item x="67"/>
        <item x="271"/>
        <item x="6"/>
        <item x="202"/>
        <item x="34"/>
        <item x="149"/>
        <item x="44"/>
        <item x="135"/>
        <item x="153"/>
        <item x="183"/>
        <item x="14"/>
        <item x="71"/>
        <item x="144"/>
        <item x="32"/>
        <item x="260"/>
        <item x="298"/>
        <item x="238"/>
        <item x="33"/>
        <item x="142"/>
        <item x="219"/>
        <item x="243"/>
        <item x="77"/>
        <item x="296"/>
        <item x="151"/>
        <item x="256"/>
        <item x="209"/>
        <item x="242"/>
        <item x="187"/>
        <item x="117"/>
        <item x="249"/>
        <item x="164"/>
        <item x="175"/>
        <item x="27"/>
        <item x="68"/>
        <item x="61"/>
        <item x="41"/>
        <item x="140"/>
        <item x="21"/>
        <item x="120"/>
        <item x="165"/>
        <item x="146"/>
        <item x="278"/>
        <item x="308"/>
        <item x="97"/>
        <item x="4"/>
        <item x="241"/>
        <item x="309"/>
        <item x="111"/>
        <item x="99"/>
        <item x="114"/>
        <item x="37"/>
        <item x="329"/>
        <item x="319"/>
        <item x="110"/>
        <item x="83"/>
        <item x="254"/>
        <item x="9"/>
        <item x="2"/>
        <item x="324"/>
        <item x="143"/>
        <item x="288"/>
        <item x="220"/>
        <item x="88"/>
        <item x="148"/>
        <item x="274"/>
        <item x="103"/>
        <item x="124"/>
        <item x="39"/>
        <item x="214"/>
        <item x="277"/>
        <item x="5"/>
        <item x="305"/>
        <item x="318"/>
        <item x="72"/>
        <item x="287"/>
        <item x="116"/>
        <item x="112"/>
        <item x="236"/>
        <item x="321"/>
        <item x="237"/>
        <item x="178"/>
        <item x="162"/>
        <item x="36"/>
        <item x="89"/>
        <item x="224"/>
        <item x="198"/>
        <item x="284"/>
        <item x="190"/>
        <item x="62"/>
        <item x="169"/>
        <item x="204"/>
        <item x="98"/>
        <item x="22"/>
        <item x="253"/>
        <item x="50"/>
        <item x="170"/>
        <item x="156"/>
        <item x="317"/>
        <item x="15"/>
        <item x="81"/>
        <item x="85"/>
        <item x="157"/>
        <item x="59"/>
        <item x="66"/>
        <item x="234"/>
        <item x="245"/>
        <item x="141"/>
        <item x="229"/>
        <item x="54"/>
        <item x="263"/>
        <item x="125"/>
        <item x="315"/>
        <item x="3"/>
        <item x="160"/>
        <item x="240"/>
        <item x="200"/>
        <item x="171"/>
        <item x="13"/>
        <item x="176"/>
        <item x="230"/>
        <item x="106"/>
        <item x="20"/>
        <item x="75"/>
        <item x="16"/>
        <item x="228"/>
        <item x="53"/>
        <item x="215"/>
        <item x="258"/>
        <item x="320"/>
        <item x="268"/>
        <item x="255"/>
        <item x="262"/>
        <item x="206"/>
        <item x="173"/>
        <item x="225"/>
        <item x="180"/>
        <item x="325"/>
        <item x="191"/>
        <item x="300"/>
        <item x="127"/>
        <item x="207"/>
        <item x="47"/>
        <item x="259"/>
        <item x="306"/>
        <item x="292"/>
        <item x="10"/>
        <item x="314"/>
        <item x="76"/>
        <item x="322"/>
        <item x="113"/>
        <item x="42"/>
        <item x="17"/>
        <item x="186"/>
        <item x="73"/>
        <item x="26"/>
        <item x="0"/>
        <item x="293"/>
        <item x="87"/>
        <item x="56"/>
        <item x="212"/>
        <item x="312"/>
        <item x="247"/>
        <item x="132"/>
        <item x="161"/>
        <item x="101"/>
        <item x="28"/>
        <item x="147"/>
        <item x="233"/>
        <item x="210"/>
        <item x="137"/>
        <item x="45"/>
        <item x="195"/>
        <item x="181"/>
        <item x="313"/>
        <item x="261"/>
        <item x="239"/>
        <item x="307"/>
        <item x="299"/>
        <item x="250"/>
        <item x="58"/>
        <item x="235"/>
        <item x="188"/>
        <item x="316"/>
        <item x="189"/>
        <item x="23"/>
        <item x="138"/>
        <item x="226"/>
        <item x="244"/>
        <item x="213"/>
        <item x="96"/>
        <item x="38"/>
        <item x="168"/>
        <item x="86"/>
        <item x="167"/>
        <item x="48"/>
        <item x="273"/>
        <item x="11"/>
        <item x="201"/>
        <item x="78"/>
        <item x="276"/>
        <item x="63"/>
        <item x="100"/>
        <item x="60"/>
        <item x="49"/>
        <item x="327"/>
        <item x="182"/>
        <item x="69"/>
        <item x="64"/>
        <item x="248"/>
        <item x="270"/>
        <item x="102"/>
        <item x="24"/>
        <item x="8"/>
        <item x="139"/>
        <item x="279"/>
        <item x="12"/>
        <item x="328"/>
        <item x="179"/>
        <item x="295"/>
        <item x="158"/>
        <item x="109"/>
        <item x="275"/>
        <item x="123"/>
        <item x="282"/>
        <item x="25"/>
        <item x="145"/>
        <item x="194"/>
        <item x="218"/>
        <item x="46"/>
        <item x="303"/>
        <item x="154"/>
        <item x="35"/>
        <item x="208"/>
        <item x="122"/>
        <item x="105"/>
        <item x="126"/>
        <item x="80"/>
        <item x="108"/>
        <item x="231"/>
        <item x="281"/>
        <item x="272"/>
        <item x="150"/>
        <item x="7"/>
        <item x="304"/>
        <item x="177"/>
        <item x="163"/>
        <item x="257"/>
        <item x="65"/>
        <item x="121"/>
        <item x="79"/>
        <item x="227"/>
        <item x="134"/>
        <item x="283"/>
        <item x="232"/>
        <item x="90"/>
        <item x="152"/>
        <item x="301"/>
        <item x="311"/>
        <item x="130"/>
        <item x="197"/>
        <item x="267"/>
        <item x="30"/>
        <item x="217"/>
        <item x="297"/>
        <item x="302"/>
        <item x="84"/>
        <item x="216"/>
        <item x="74"/>
        <item x="1"/>
        <item x="222"/>
        <item x="196"/>
        <item x="118"/>
        <item x="136"/>
        <item x="221"/>
        <item x="252"/>
        <item x="52"/>
        <item x="211"/>
        <item x="290"/>
        <item x="223"/>
        <item x="174"/>
        <item x="291"/>
        <item x="92"/>
        <item x="93"/>
        <item x="185"/>
        <item x="310"/>
        <item x="269"/>
        <item x="323"/>
        <item x="286"/>
        <item x="246"/>
        <item x="43"/>
        <item x="326"/>
        <item x="285"/>
        <item x="29"/>
        <item t="default"/>
      </items>
    </pivotField>
    <pivotField showAll="0"/>
    <pivotField numFmtId="4" showAll="0"/>
    <pivotField numFmtId="4" showAll="0"/>
    <pivotField axis="axisRow" showAll="0">
      <items count="6">
        <item x="2"/>
        <item x="4"/>
        <item x="3"/>
        <item x="0"/>
        <item x="1"/>
        <item t="default"/>
      </items>
    </pivotField>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3"/>
  </rowFields>
  <rowItems count="6">
    <i>
      <x/>
    </i>
    <i>
      <x v="1"/>
    </i>
    <i>
      <x v="2"/>
    </i>
    <i>
      <x v="3"/>
    </i>
    <i>
      <x v="4"/>
    </i>
    <i t="grand">
      <x/>
    </i>
  </rowItems>
  <colFields count="1">
    <field x="6"/>
  </colFields>
  <colItems count="6">
    <i>
      <x/>
    </i>
    <i>
      <x v="1"/>
    </i>
    <i>
      <x v="2"/>
    </i>
    <i>
      <x v="3"/>
    </i>
    <i>
      <x v="4"/>
    </i>
    <i t="grand">
      <x/>
    </i>
  </colItems>
  <dataFields count="1">
    <dataField name="Count of Order ID" fld="0" subtotal="count" baseField="0" baseItem="0"/>
  </dataFields>
  <chartFormats count="11">
    <chartFormat chart="5" format="15" series="1">
      <pivotArea type="data" outline="0" fieldPosition="0">
        <references count="1">
          <reference field="13" count="1" selected="0">
            <x v="0"/>
          </reference>
        </references>
      </pivotArea>
    </chartFormat>
    <chartFormat chart="5" format="16" series="1">
      <pivotArea type="data" outline="0" fieldPosition="0">
        <references count="1">
          <reference field="13" count="1" selected="0">
            <x v="1"/>
          </reference>
        </references>
      </pivotArea>
    </chartFormat>
    <chartFormat chart="5" format="17" series="1">
      <pivotArea type="data" outline="0" fieldPosition="0">
        <references count="1">
          <reference field="13" count="1" selected="0">
            <x v="2"/>
          </reference>
        </references>
      </pivotArea>
    </chartFormat>
    <chartFormat chart="5" format="18" series="1">
      <pivotArea type="data" outline="0" fieldPosition="0">
        <references count="1">
          <reference field="13" count="1" selected="0">
            <x v="3"/>
          </reference>
        </references>
      </pivotArea>
    </chartFormat>
    <chartFormat chart="5" format="19" series="1">
      <pivotArea type="data" outline="0" fieldPosition="0">
        <references count="1">
          <reference field="13" count="1" selected="0">
            <x v="4"/>
          </reference>
        </references>
      </pivotArea>
    </chartFormat>
    <chartFormat chart="5" format="36" series="1">
      <pivotArea type="data" outline="0" fieldPosition="0">
        <references count="1">
          <reference field="4294967294" count="1" selected="0">
            <x v="0"/>
          </reference>
        </references>
      </pivotArea>
    </chartFormat>
    <chartFormat chart="5" format="37" series="1">
      <pivotArea type="data" outline="0" fieldPosition="0">
        <references count="2">
          <reference field="4294967294" count="1" selected="0">
            <x v="0"/>
          </reference>
          <reference field="6" count="1" selected="0">
            <x v="2"/>
          </reference>
        </references>
      </pivotArea>
    </chartFormat>
    <chartFormat chart="5" format="38" series="1">
      <pivotArea type="data" outline="0" fieldPosition="0">
        <references count="2">
          <reference field="4294967294" count="1" selected="0">
            <x v="0"/>
          </reference>
          <reference field="6" count="1" selected="0">
            <x v="3"/>
          </reference>
        </references>
      </pivotArea>
    </chartFormat>
    <chartFormat chart="5" format="39" series="1">
      <pivotArea type="data" outline="0" fieldPosition="0">
        <references count="2">
          <reference field="4294967294" count="1" selected="0">
            <x v="0"/>
          </reference>
          <reference field="6" count="1" selected="0">
            <x v="4"/>
          </reference>
        </references>
      </pivotArea>
    </chartFormat>
    <chartFormat chart="5" format="40" series="1">
      <pivotArea type="data" outline="0" fieldPosition="0">
        <references count="2">
          <reference field="4294967294" count="1" selected="0">
            <x v="0"/>
          </reference>
          <reference field="6" count="1" selected="0">
            <x v="0"/>
          </reference>
        </references>
      </pivotArea>
    </chartFormat>
    <chartFormat chart="5" format="41"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96EE8E-41CE-40DB-92E1-3A9F82F22B95}"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H3:I15" firstHeaderRow="1" firstDataRow="1" firstDataCol="1"/>
  <pivotFields count="19">
    <pivotField showAll="0"/>
    <pivotField numFmtId="164" showAll="0">
      <items count="537">
        <item x="532"/>
        <item x="253"/>
        <item x="358"/>
        <item x="58"/>
        <item x="364"/>
        <item x="415"/>
        <item x="119"/>
        <item x="141"/>
        <item x="136"/>
        <item x="283"/>
        <item x="370"/>
        <item x="91"/>
        <item x="393"/>
        <item x="290"/>
        <item x="443"/>
        <item x="213"/>
        <item x="123"/>
        <item x="40"/>
        <item x="22"/>
        <item x="106"/>
        <item x="178"/>
        <item x="319"/>
        <item x="438"/>
        <item x="44"/>
        <item x="354"/>
        <item x="7"/>
        <item x="368"/>
        <item x="375"/>
        <item x="256"/>
        <item x="460"/>
        <item x="171"/>
        <item x="336"/>
        <item x="219"/>
        <item x="28"/>
        <item x="429"/>
        <item x="479"/>
        <item x="188"/>
        <item x="530"/>
        <item x="6"/>
        <item x="466"/>
        <item x="32"/>
        <item x="166"/>
        <item x="489"/>
        <item x="53"/>
        <item x="59"/>
        <item x="342"/>
        <item x="323"/>
        <item x="168"/>
        <item x="492"/>
        <item x="69"/>
        <item x="395"/>
        <item x="361"/>
        <item x="369"/>
        <item x="279"/>
        <item x="52"/>
        <item x="79"/>
        <item x="93"/>
        <item x="414"/>
        <item x="237"/>
        <item x="92"/>
        <item x="345"/>
        <item x="397"/>
        <item x="27"/>
        <item x="193"/>
        <item x="515"/>
        <item x="304"/>
        <item x="157"/>
        <item x="314"/>
        <item x="504"/>
        <item x="217"/>
        <item x="135"/>
        <item x="305"/>
        <item x="412"/>
        <item x="4"/>
        <item x="164"/>
        <item x="181"/>
        <item x="57"/>
        <item x="388"/>
        <item x="416"/>
        <item x="30"/>
        <item x="350"/>
        <item x="513"/>
        <item x="223"/>
        <item x="315"/>
        <item x="160"/>
        <item x="334"/>
        <item x="75"/>
        <item x="498"/>
        <item x="131"/>
        <item x="88"/>
        <item x="308"/>
        <item x="191"/>
        <item x="491"/>
        <item x="407"/>
        <item x="321"/>
        <item x="64"/>
        <item x="56"/>
        <item x="261"/>
        <item x="284"/>
        <item x="215"/>
        <item x="98"/>
        <item x="386"/>
        <item x="275"/>
        <item x="363"/>
        <item x="482"/>
        <item x="84"/>
        <item x="496"/>
        <item x="436"/>
        <item x="483"/>
        <item x="19"/>
        <item x="426"/>
        <item x="343"/>
        <item x="154"/>
        <item x="225"/>
        <item x="514"/>
        <item x="72"/>
        <item x="516"/>
        <item x="209"/>
        <item x="437"/>
        <item x="374"/>
        <item x="145"/>
        <item x="42"/>
        <item x="311"/>
        <item x="260"/>
        <item x="158"/>
        <item x="190"/>
        <item x="216"/>
        <item x="384"/>
        <item x="424"/>
        <item x="48"/>
        <item x="78"/>
        <item x="149"/>
        <item x="172"/>
        <item x="326"/>
        <item x="404"/>
        <item x="99"/>
        <item x="353"/>
        <item x="232"/>
        <item x="194"/>
        <item x="325"/>
        <item x="229"/>
        <item x="81"/>
        <item x="200"/>
        <item x="367"/>
        <item x="328"/>
        <item x="189"/>
        <item x="430"/>
        <item x="46"/>
        <item x="127"/>
        <item x="401"/>
        <item x="339"/>
        <item x="421"/>
        <item x="184"/>
        <item x="287"/>
        <item x="206"/>
        <item x="0"/>
        <item x="310"/>
        <item x="23"/>
        <item x="423"/>
        <item x="107"/>
        <item x="14"/>
        <item x="103"/>
        <item x="89"/>
        <item x="173"/>
        <item x="385"/>
        <item x="522"/>
        <item x="470"/>
        <item x="399"/>
        <item x="39"/>
        <item x="488"/>
        <item x="262"/>
        <item x="248"/>
        <item x="152"/>
        <item x="109"/>
        <item x="497"/>
        <item x="512"/>
        <item x="518"/>
        <item x="182"/>
        <item x="378"/>
        <item x="371"/>
        <item x="24"/>
        <item x="330"/>
        <item x="459"/>
        <item x="47"/>
        <item x="273"/>
        <item x="204"/>
        <item x="139"/>
        <item x="485"/>
        <item x="365"/>
        <item x="265"/>
        <item x="13"/>
        <item x="286"/>
        <item x="113"/>
        <item x="31"/>
        <item x="62"/>
        <item x="320"/>
        <item x="270"/>
        <item x="87"/>
        <item x="38"/>
        <item x="86"/>
        <item x="259"/>
        <item x="242"/>
        <item x="510"/>
        <item x="338"/>
        <item x="147"/>
        <item x="300"/>
        <item x="524"/>
        <item x="201"/>
        <item x="332"/>
        <item x="73"/>
        <item x="128"/>
        <item x="15"/>
        <item x="250"/>
        <item x="351"/>
        <item x="104"/>
        <item x="169"/>
        <item x="221"/>
        <item x="435"/>
        <item x="505"/>
        <item x="117"/>
        <item x="96"/>
        <item x="77"/>
        <item x="291"/>
        <item x="243"/>
        <item x="255"/>
        <item x="387"/>
        <item x="452"/>
        <item x="347"/>
        <item x="400"/>
        <item x="228"/>
        <item x="500"/>
        <item x="468"/>
        <item x="316"/>
        <item x="282"/>
        <item x="508"/>
        <item x="11"/>
        <item x="493"/>
        <item x="196"/>
        <item x="187"/>
        <item x="55"/>
        <item x="34"/>
        <item x="212"/>
        <item x="20"/>
        <item x="457"/>
        <item x="3"/>
        <item x="301"/>
        <item x="234"/>
        <item x="322"/>
        <item x="195"/>
        <item x="376"/>
        <item x="45"/>
        <item x="413"/>
        <item x="288"/>
        <item x="389"/>
        <item x="105"/>
        <item x="278"/>
        <item x="382"/>
        <item x="372"/>
        <item x="210"/>
        <item x="153"/>
        <item x="276"/>
        <item x="126"/>
        <item x="61"/>
        <item x="95"/>
        <item x="90"/>
        <item x="494"/>
        <item x="309"/>
        <item x="317"/>
        <item x="138"/>
        <item x="50"/>
        <item x="274"/>
        <item x="63"/>
        <item x="464"/>
        <item x="82"/>
        <item x="133"/>
        <item x="159"/>
        <item x="520"/>
        <item x="140"/>
        <item x="523"/>
        <item x="467"/>
        <item x="299"/>
        <item x="120"/>
        <item x="481"/>
        <item x="349"/>
        <item x="455"/>
        <item x="74"/>
        <item x="186"/>
        <item x="454"/>
        <item x="406"/>
        <item x="54"/>
        <item x="94"/>
        <item x="230"/>
        <item x="227"/>
        <item x="76"/>
        <item x="137"/>
        <item x="26"/>
        <item x="355"/>
        <item x="461"/>
        <item x="418"/>
        <item x="257"/>
        <item x="35"/>
        <item x="36"/>
        <item x="447"/>
        <item x="511"/>
        <item x="448"/>
        <item x="420"/>
        <item x="293"/>
        <item x="185"/>
        <item x="130"/>
        <item x="263"/>
        <item x="297"/>
        <item x="396"/>
        <item x="289"/>
        <item x="203"/>
        <item x="80"/>
        <item x="156"/>
        <item x="199"/>
        <item x="327"/>
        <item x="373"/>
        <item x="264"/>
        <item x="246"/>
        <item x="251"/>
        <item x="296"/>
        <item x="125"/>
        <item x="528"/>
        <item x="294"/>
        <item x="390"/>
        <item x="134"/>
        <item x="222"/>
        <item x="37"/>
        <item x="1"/>
        <item x="9"/>
        <item x="519"/>
        <item x="473"/>
        <item x="151"/>
        <item x="108"/>
        <item x="318"/>
        <item x="517"/>
        <item x="529"/>
        <item x="85"/>
        <item x="335"/>
        <item x="463"/>
        <item x="238"/>
        <item x="509"/>
        <item x="97"/>
        <item x="476"/>
        <item x="202"/>
        <item x="409"/>
        <item x="475"/>
        <item x="356"/>
        <item x="240"/>
        <item x="391"/>
        <item x="2"/>
        <item x="474"/>
        <item x="129"/>
        <item x="83"/>
        <item x="380"/>
        <item x="249"/>
        <item x="176"/>
        <item x="306"/>
        <item x="398"/>
        <item x="155"/>
        <item x="402"/>
        <item x="205"/>
        <item x="165"/>
        <item x="115"/>
        <item x="329"/>
        <item x="428"/>
        <item x="65"/>
        <item x="179"/>
        <item x="359"/>
        <item x="51"/>
        <item x="408"/>
        <item x="360"/>
        <item x="244"/>
        <item x="295"/>
        <item x="277"/>
        <item x="241"/>
        <item x="124"/>
        <item x="324"/>
        <item x="33"/>
        <item x="465"/>
        <item x="392"/>
        <item x="377"/>
        <item x="444"/>
        <item x="456"/>
        <item x="352"/>
        <item x="337"/>
        <item x="183"/>
        <item x="348"/>
        <item x="235"/>
        <item x="132"/>
        <item x="411"/>
        <item x="218"/>
        <item x="434"/>
        <item x="458"/>
        <item x="495"/>
        <item x="49"/>
        <item x="122"/>
        <item x="68"/>
        <item x="198"/>
        <item x="366"/>
        <item x="231"/>
        <item x="462"/>
        <item x="535"/>
        <item x="502"/>
        <item x="307"/>
        <item x="258"/>
        <item x="247"/>
        <item x="146"/>
        <item x="272"/>
        <item x="526"/>
        <item x="121"/>
        <item x="357"/>
        <item x="531"/>
        <item x="111"/>
        <item x="100"/>
        <item x="18"/>
        <item x="271"/>
        <item x="480"/>
        <item x="70"/>
        <item x="379"/>
        <item x="346"/>
        <item x="469"/>
        <item x="233"/>
        <item x="439"/>
        <item x="292"/>
        <item x="192"/>
        <item x="268"/>
        <item x="503"/>
        <item x="403"/>
        <item x="381"/>
        <item x="333"/>
        <item x="150"/>
        <item x="245"/>
        <item x="440"/>
        <item x="175"/>
        <item x="432"/>
        <item x="303"/>
        <item x="197"/>
        <item x="431"/>
        <item x="163"/>
        <item x="422"/>
        <item x="102"/>
        <item x="8"/>
        <item x="220"/>
        <item x="383"/>
        <item x="341"/>
        <item x="302"/>
        <item x="224"/>
        <item x="254"/>
        <item x="445"/>
        <item x="533"/>
        <item x="148"/>
        <item x="433"/>
        <item x="170"/>
        <item x="161"/>
        <item x="211"/>
        <item x="527"/>
        <item x="41"/>
        <item x="313"/>
        <item x="362"/>
        <item x="177"/>
        <item x="25"/>
        <item x="21"/>
        <item x="17"/>
        <item x="487"/>
        <item x="344"/>
        <item x="312"/>
        <item x="71"/>
        <item x="12"/>
        <item x="442"/>
        <item x="394"/>
        <item x="226"/>
        <item x="471"/>
        <item x="143"/>
        <item x="29"/>
        <item x="43"/>
        <item x="144"/>
        <item x="112"/>
        <item x="16"/>
        <item x="236"/>
        <item x="252"/>
        <item x="162"/>
        <item x="453"/>
        <item x="419"/>
        <item x="118"/>
        <item x="506"/>
        <item x="484"/>
        <item x="486"/>
        <item x="478"/>
        <item x="174"/>
        <item x="67"/>
        <item x="410"/>
        <item x="449"/>
        <item x="142"/>
        <item x="269"/>
        <item x="267"/>
        <item x="450"/>
        <item x="425"/>
        <item x="207"/>
        <item x="534"/>
        <item x="110"/>
        <item x="180"/>
        <item x="417"/>
        <item x="101"/>
        <item x="298"/>
        <item x="114"/>
        <item x="441"/>
        <item x="477"/>
        <item x="499"/>
        <item x="167"/>
        <item x="10"/>
        <item x="405"/>
        <item x="281"/>
        <item x="331"/>
        <item x="490"/>
        <item x="427"/>
        <item x="501"/>
        <item x="340"/>
        <item x="446"/>
        <item x="285"/>
        <item x="208"/>
        <item x="214"/>
        <item x="451"/>
        <item x="280"/>
        <item x="472"/>
        <item x="525"/>
        <item x="507"/>
        <item x="66"/>
        <item x="521"/>
        <item x="60"/>
        <item x="5"/>
        <item x="239"/>
        <item x="116"/>
        <item x="266"/>
        <item t="default"/>
      </items>
    </pivotField>
    <pivotField showAll="0"/>
    <pivotField showAll="0">
      <items count="17">
        <item x="7"/>
        <item x="11"/>
        <item x="10"/>
        <item x="12"/>
        <item x="15"/>
        <item x="4"/>
        <item x="0"/>
        <item x="8"/>
        <item x="9"/>
        <item x="14"/>
        <item x="5"/>
        <item x="2"/>
        <item x="13"/>
        <item x="1"/>
        <item x="3"/>
        <item x="6"/>
        <item t="default"/>
      </items>
    </pivotField>
    <pivotField axis="axisRow" showAll="0">
      <items count="13">
        <item x="11"/>
        <item x="5"/>
        <item x="3"/>
        <item x="10"/>
        <item x="6"/>
        <item x="1"/>
        <item x="8"/>
        <item x="7"/>
        <item x="9"/>
        <item x="0"/>
        <item x="2"/>
        <item x="4"/>
        <item t="default"/>
      </items>
    </pivotField>
    <pivotField showAll="0"/>
    <pivotField showAll="0"/>
    <pivotField showAll="0"/>
    <pivotField showAll="0"/>
    <pivotField numFmtId="4" showAll="0">
      <items count="331">
        <item x="264"/>
        <item x="31"/>
        <item x="192"/>
        <item x="280"/>
        <item x="131"/>
        <item x="91"/>
        <item x="184"/>
        <item x="19"/>
        <item x="203"/>
        <item x="289"/>
        <item x="199"/>
        <item x="166"/>
        <item x="265"/>
        <item x="95"/>
        <item x="70"/>
        <item x="266"/>
        <item x="172"/>
        <item x="40"/>
        <item x="18"/>
        <item x="57"/>
        <item x="159"/>
        <item x="251"/>
        <item x="55"/>
        <item x="119"/>
        <item x="193"/>
        <item x="82"/>
        <item x="133"/>
        <item x="155"/>
        <item x="128"/>
        <item x="107"/>
        <item x="294"/>
        <item x="205"/>
        <item x="129"/>
        <item x="51"/>
        <item x="115"/>
        <item x="94"/>
        <item x="104"/>
        <item x="67"/>
        <item x="271"/>
        <item x="6"/>
        <item x="202"/>
        <item x="34"/>
        <item x="149"/>
        <item x="44"/>
        <item x="135"/>
        <item x="153"/>
        <item x="183"/>
        <item x="14"/>
        <item x="71"/>
        <item x="144"/>
        <item x="32"/>
        <item x="260"/>
        <item x="298"/>
        <item x="238"/>
        <item x="33"/>
        <item x="142"/>
        <item x="219"/>
        <item x="243"/>
        <item x="77"/>
        <item x="296"/>
        <item x="151"/>
        <item x="256"/>
        <item x="209"/>
        <item x="242"/>
        <item x="187"/>
        <item x="117"/>
        <item x="249"/>
        <item x="164"/>
        <item x="175"/>
        <item x="27"/>
        <item x="68"/>
        <item x="61"/>
        <item x="41"/>
        <item x="140"/>
        <item x="21"/>
        <item x="120"/>
        <item x="165"/>
        <item x="146"/>
        <item x="278"/>
        <item x="308"/>
        <item x="97"/>
        <item x="4"/>
        <item x="241"/>
        <item x="309"/>
        <item x="111"/>
        <item x="99"/>
        <item x="114"/>
        <item x="37"/>
        <item x="329"/>
        <item x="319"/>
        <item x="110"/>
        <item x="83"/>
        <item x="254"/>
        <item x="9"/>
        <item x="2"/>
        <item x="324"/>
        <item x="143"/>
        <item x="288"/>
        <item x="220"/>
        <item x="88"/>
        <item x="148"/>
        <item x="274"/>
        <item x="103"/>
        <item x="124"/>
        <item x="39"/>
        <item x="214"/>
        <item x="277"/>
        <item x="5"/>
        <item x="305"/>
        <item x="318"/>
        <item x="72"/>
        <item x="287"/>
        <item x="116"/>
        <item x="112"/>
        <item x="236"/>
        <item x="321"/>
        <item x="237"/>
        <item x="178"/>
        <item x="162"/>
        <item x="36"/>
        <item x="89"/>
        <item x="224"/>
        <item x="198"/>
        <item x="284"/>
        <item x="190"/>
        <item x="62"/>
        <item x="169"/>
        <item x="204"/>
        <item x="98"/>
        <item x="22"/>
        <item x="253"/>
        <item x="50"/>
        <item x="170"/>
        <item x="156"/>
        <item x="317"/>
        <item x="15"/>
        <item x="81"/>
        <item x="85"/>
        <item x="157"/>
        <item x="59"/>
        <item x="66"/>
        <item x="234"/>
        <item x="245"/>
        <item x="141"/>
        <item x="229"/>
        <item x="54"/>
        <item x="263"/>
        <item x="125"/>
        <item x="315"/>
        <item x="3"/>
        <item x="160"/>
        <item x="240"/>
        <item x="200"/>
        <item x="171"/>
        <item x="13"/>
        <item x="176"/>
        <item x="230"/>
        <item x="106"/>
        <item x="20"/>
        <item x="75"/>
        <item x="16"/>
        <item x="228"/>
        <item x="53"/>
        <item x="215"/>
        <item x="258"/>
        <item x="320"/>
        <item x="268"/>
        <item x="255"/>
        <item x="262"/>
        <item x="206"/>
        <item x="173"/>
        <item x="225"/>
        <item x="180"/>
        <item x="325"/>
        <item x="191"/>
        <item x="300"/>
        <item x="127"/>
        <item x="207"/>
        <item x="47"/>
        <item x="259"/>
        <item x="306"/>
        <item x="292"/>
        <item x="10"/>
        <item x="314"/>
        <item x="76"/>
        <item x="322"/>
        <item x="113"/>
        <item x="42"/>
        <item x="17"/>
        <item x="186"/>
        <item x="73"/>
        <item x="26"/>
        <item x="0"/>
        <item x="293"/>
        <item x="87"/>
        <item x="56"/>
        <item x="212"/>
        <item x="312"/>
        <item x="247"/>
        <item x="132"/>
        <item x="161"/>
        <item x="101"/>
        <item x="28"/>
        <item x="147"/>
        <item x="233"/>
        <item x="210"/>
        <item x="137"/>
        <item x="45"/>
        <item x="195"/>
        <item x="181"/>
        <item x="313"/>
        <item x="261"/>
        <item x="239"/>
        <item x="307"/>
        <item x="299"/>
        <item x="250"/>
        <item x="58"/>
        <item x="235"/>
        <item x="188"/>
        <item x="316"/>
        <item x="189"/>
        <item x="23"/>
        <item x="138"/>
        <item x="226"/>
        <item x="244"/>
        <item x="213"/>
        <item x="96"/>
        <item x="38"/>
        <item x="168"/>
        <item x="86"/>
        <item x="167"/>
        <item x="48"/>
        <item x="273"/>
        <item x="11"/>
        <item x="201"/>
        <item x="78"/>
        <item x="276"/>
        <item x="63"/>
        <item x="100"/>
        <item x="60"/>
        <item x="49"/>
        <item x="327"/>
        <item x="182"/>
        <item x="69"/>
        <item x="64"/>
        <item x="248"/>
        <item x="270"/>
        <item x="102"/>
        <item x="24"/>
        <item x="8"/>
        <item x="139"/>
        <item x="279"/>
        <item x="12"/>
        <item x="328"/>
        <item x="179"/>
        <item x="295"/>
        <item x="158"/>
        <item x="109"/>
        <item x="275"/>
        <item x="123"/>
        <item x="282"/>
        <item x="25"/>
        <item x="145"/>
        <item x="194"/>
        <item x="218"/>
        <item x="46"/>
        <item x="303"/>
        <item x="154"/>
        <item x="35"/>
        <item x="208"/>
        <item x="122"/>
        <item x="105"/>
        <item x="126"/>
        <item x="80"/>
        <item x="108"/>
        <item x="231"/>
        <item x="281"/>
        <item x="272"/>
        <item x="150"/>
        <item x="7"/>
        <item x="304"/>
        <item x="177"/>
        <item x="163"/>
        <item x="257"/>
        <item x="65"/>
        <item x="121"/>
        <item x="79"/>
        <item x="227"/>
        <item x="134"/>
        <item x="283"/>
        <item x="232"/>
        <item x="90"/>
        <item x="152"/>
        <item x="301"/>
        <item x="311"/>
        <item x="130"/>
        <item x="197"/>
        <item x="267"/>
        <item x="30"/>
        <item x="217"/>
        <item x="297"/>
        <item x="302"/>
        <item x="84"/>
        <item x="216"/>
        <item x="74"/>
        <item x="1"/>
        <item x="222"/>
        <item x="196"/>
        <item x="118"/>
        <item x="136"/>
        <item x="221"/>
        <item x="252"/>
        <item x="52"/>
        <item x="211"/>
        <item x="290"/>
        <item x="223"/>
        <item x="174"/>
        <item x="291"/>
        <item x="92"/>
        <item x="93"/>
        <item x="185"/>
        <item x="310"/>
        <item x="269"/>
        <item x="323"/>
        <item x="286"/>
        <item x="246"/>
        <item x="43"/>
        <item x="326"/>
        <item x="285"/>
        <item x="29"/>
        <item t="default"/>
      </items>
    </pivotField>
    <pivotField showAll="0"/>
    <pivotField numFmtId="4" showAll="0"/>
    <pivotField dataField="1" numFmtId="4"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4"/>
  </rowFields>
  <rowItems count="12">
    <i>
      <x/>
    </i>
    <i>
      <x v="1"/>
    </i>
    <i>
      <x v="2"/>
    </i>
    <i>
      <x v="3"/>
    </i>
    <i>
      <x v="4"/>
    </i>
    <i>
      <x v="5"/>
    </i>
    <i>
      <x v="6"/>
    </i>
    <i>
      <x v="7"/>
    </i>
    <i>
      <x v="8"/>
    </i>
    <i>
      <x v="9"/>
    </i>
    <i>
      <x v="10"/>
    </i>
    <i>
      <x v="11"/>
    </i>
  </rowItems>
  <colItems count="1">
    <i/>
  </colItems>
  <dataFields count="1">
    <dataField name="Sum of Profit" fld="12" baseField="0" baseItem="0" numFmtId="4"/>
  </dataFields>
  <chartFormats count="2">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1221E4DF-EE34-4853-99D2-909E42BA9762}" sourceName="Sales">
  <pivotTables>
    <pivotTable tabId="3" name="PivotTable2"/>
    <pivotTable tabId="3" name="PivotTable4"/>
    <pivotTable tabId="3" name="PivotTable5"/>
    <pivotTable tabId="3" name="PivotTable6"/>
    <pivotTable tabId="3" name="PivotTable7"/>
  </pivotTables>
  <data>
    <tabular pivotCacheId="1752621698">
      <items count="330">
        <i x="264" s="1"/>
        <i x="31" s="1"/>
        <i x="192" s="1"/>
        <i x="280" s="1"/>
        <i x="131" s="1"/>
        <i x="91" s="1"/>
        <i x="184" s="1"/>
        <i x="19" s="1"/>
        <i x="203" s="1"/>
        <i x="289" s="1"/>
        <i x="199" s="1"/>
        <i x="166" s="1"/>
        <i x="265" s="1"/>
        <i x="95" s="1"/>
        <i x="70" s="1"/>
        <i x="266" s="1"/>
        <i x="172" s="1"/>
        <i x="40" s="1"/>
        <i x="18" s="1"/>
        <i x="57" s="1"/>
        <i x="159" s="1"/>
        <i x="251" s="1"/>
        <i x="55" s="1"/>
        <i x="119" s="1"/>
        <i x="193" s="1"/>
        <i x="82" s="1"/>
        <i x="133" s="1"/>
        <i x="155" s="1"/>
        <i x="128" s="1"/>
        <i x="107" s="1"/>
        <i x="294" s="1"/>
        <i x="205" s="1"/>
        <i x="129" s="1"/>
        <i x="51" s="1"/>
        <i x="115" s="1"/>
        <i x="94" s="1"/>
        <i x="104" s="1"/>
        <i x="67" s="1"/>
        <i x="271" s="1"/>
        <i x="6" s="1"/>
        <i x="202" s="1"/>
        <i x="34" s="1"/>
        <i x="149" s="1"/>
        <i x="44" s="1"/>
        <i x="135" s="1"/>
        <i x="153" s="1"/>
        <i x="183" s="1"/>
        <i x="14" s="1"/>
        <i x="71" s="1"/>
        <i x="144" s="1"/>
        <i x="32" s="1"/>
        <i x="260" s="1"/>
        <i x="298" s="1"/>
        <i x="238" s="1"/>
        <i x="33" s="1"/>
        <i x="142" s="1"/>
        <i x="219" s="1"/>
        <i x="243" s="1"/>
        <i x="77" s="1"/>
        <i x="296" s="1"/>
        <i x="151" s="1"/>
        <i x="256" s="1"/>
        <i x="209" s="1"/>
        <i x="242" s="1"/>
        <i x="187" s="1"/>
        <i x="117" s="1"/>
        <i x="249" s="1"/>
        <i x="164" s="1"/>
        <i x="175" s="1"/>
        <i x="27" s="1"/>
        <i x="68" s="1"/>
        <i x="61" s="1"/>
        <i x="41" s="1"/>
        <i x="140" s="1"/>
        <i x="21" s="1"/>
        <i x="120" s="1"/>
        <i x="165" s="1"/>
        <i x="146" s="1"/>
        <i x="278" s="1"/>
        <i x="308" s="1"/>
        <i x="97" s="1"/>
        <i x="4" s="1"/>
        <i x="241" s="1"/>
        <i x="309" s="1"/>
        <i x="111" s="1"/>
        <i x="99" s="1"/>
        <i x="114" s="1"/>
        <i x="37" s="1"/>
        <i x="329" s="1"/>
        <i x="319" s="1"/>
        <i x="110" s="1"/>
        <i x="83" s="1"/>
        <i x="254" s="1"/>
        <i x="9" s="1"/>
        <i x="2" s="1"/>
        <i x="324" s="1"/>
        <i x="143" s="1"/>
        <i x="288" s="1"/>
        <i x="220" s="1"/>
        <i x="88" s="1"/>
        <i x="148" s="1"/>
        <i x="274" s="1"/>
        <i x="103" s="1"/>
        <i x="124" s="1"/>
        <i x="39" s="1"/>
        <i x="214" s="1"/>
        <i x="277" s="1"/>
        <i x="5" s="1"/>
        <i x="305" s="1"/>
        <i x="318" s="1"/>
        <i x="72" s="1"/>
        <i x="287" s="1"/>
        <i x="116" s="1"/>
        <i x="112" s="1"/>
        <i x="236" s="1"/>
        <i x="321" s="1"/>
        <i x="237" s="1"/>
        <i x="178" s="1"/>
        <i x="162" s="1"/>
        <i x="36" s="1"/>
        <i x="89" s="1"/>
        <i x="224" s="1"/>
        <i x="198" s="1"/>
        <i x="284" s="1"/>
        <i x="190" s="1"/>
        <i x="62" s="1"/>
        <i x="169" s="1"/>
        <i x="204" s="1"/>
        <i x="98" s="1"/>
        <i x="22" s="1"/>
        <i x="253" s="1"/>
        <i x="50" s="1"/>
        <i x="170" s="1"/>
        <i x="156" s="1"/>
        <i x="317" s="1"/>
        <i x="15" s="1"/>
        <i x="81" s="1"/>
        <i x="85" s="1"/>
        <i x="157" s="1"/>
        <i x="59" s="1"/>
        <i x="66" s="1"/>
        <i x="234" s="1"/>
        <i x="245" s="1"/>
        <i x="141" s="1"/>
        <i x="229" s="1"/>
        <i x="54" s="1"/>
        <i x="263" s="1"/>
        <i x="125" s="1"/>
        <i x="315" s="1"/>
        <i x="3" s="1"/>
        <i x="160" s="1"/>
        <i x="240" s="1"/>
        <i x="200" s="1"/>
        <i x="171" s="1"/>
        <i x="13" s="1"/>
        <i x="176" s="1"/>
        <i x="230" s="1"/>
        <i x="106" s="1"/>
        <i x="20" s="1"/>
        <i x="75" s="1"/>
        <i x="16" s="1"/>
        <i x="228" s="1"/>
        <i x="53" s="1"/>
        <i x="215" s="1"/>
        <i x="258" s="1"/>
        <i x="320" s="1"/>
        <i x="268" s="1"/>
        <i x="255" s="1"/>
        <i x="262" s="1"/>
        <i x="206" s="1"/>
        <i x="173" s="1"/>
        <i x="225" s="1"/>
        <i x="180" s="1"/>
        <i x="325" s="1"/>
        <i x="191" s="1"/>
        <i x="300" s="1"/>
        <i x="127" s="1"/>
        <i x="207" s="1"/>
        <i x="47" s="1"/>
        <i x="259" s="1"/>
        <i x="306" s="1"/>
        <i x="292" s="1"/>
        <i x="10" s="1"/>
        <i x="314" s="1"/>
        <i x="76" s="1"/>
        <i x="322" s="1"/>
        <i x="113" s="1"/>
        <i x="42" s="1"/>
        <i x="17" s="1"/>
        <i x="186" s="1"/>
        <i x="73" s="1"/>
        <i x="26" s="1"/>
        <i x="0" s="1"/>
        <i x="293" s="1"/>
        <i x="87" s="1"/>
        <i x="56" s="1"/>
        <i x="212" s="1"/>
        <i x="312" s="1"/>
        <i x="247" s="1"/>
        <i x="132" s="1"/>
        <i x="161" s="1"/>
        <i x="101" s="1"/>
        <i x="28" s="1"/>
        <i x="147" s="1"/>
        <i x="233" s="1"/>
        <i x="210" s="1"/>
        <i x="137" s="1"/>
        <i x="45" s="1"/>
        <i x="195" s="1"/>
        <i x="181" s="1"/>
        <i x="313" s="1"/>
        <i x="261" s="1"/>
        <i x="239" s="1"/>
        <i x="307" s="1"/>
        <i x="299" s="1"/>
        <i x="250" s="1"/>
        <i x="58" s="1"/>
        <i x="235" s="1"/>
        <i x="188" s="1"/>
        <i x="316" s="1"/>
        <i x="189" s="1"/>
        <i x="23" s="1"/>
        <i x="138" s="1"/>
        <i x="226" s="1"/>
        <i x="244" s="1"/>
        <i x="213" s="1"/>
        <i x="96" s="1"/>
        <i x="38" s="1"/>
        <i x="168" s="1"/>
        <i x="86" s="1"/>
        <i x="167" s="1"/>
        <i x="48" s="1"/>
        <i x="273" s="1"/>
        <i x="11" s="1"/>
        <i x="201" s="1"/>
        <i x="78" s="1"/>
        <i x="276" s="1"/>
        <i x="63" s="1"/>
        <i x="100" s="1"/>
        <i x="60" s="1"/>
        <i x="49" s="1"/>
        <i x="327" s="1"/>
        <i x="182" s="1"/>
        <i x="69" s="1"/>
        <i x="64" s="1"/>
        <i x="248" s="1"/>
        <i x="270" s="1"/>
        <i x="102" s="1"/>
        <i x="24" s="1"/>
        <i x="8" s="1"/>
        <i x="139" s="1"/>
        <i x="279" s="1"/>
        <i x="12" s="1"/>
        <i x="328" s="1"/>
        <i x="179" s="1"/>
        <i x="295" s="1"/>
        <i x="158" s="1"/>
        <i x="109" s="1"/>
        <i x="275" s="1"/>
        <i x="123" s="1"/>
        <i x="282" s="1"/>
        <i x="25" s="1"/>
        <i x="145" s="1"/>
        <i x="194" s="1"/>
        <i x="218" s="1"/>
        <i x="46" s="1"/>
        <i x="303" s="1"/>
        <i x="154" s="1"/>
        <i x="35" s="1"/>
        <i x="208" s="1"/>
        <i x="122" s="1"/>
        <i x="105" s="1"/>
        <i x="126" s="1"/>
        <i x="80" s="1"/>
        <i x="108" s="1"/>
        <i x="231" s="1"/>
        <i x="281" s="1"/>
        <i x="272" s="1"/>
        <i x="150" s="1"/>
        <i x="7" s="1"/>
        <i x="304" s="1"/>
        <i x="177" s="1"/>
        <i x="163" s="1"/>
        <i x="257" s="1"/>
        <i x="65" s="1"/>
        <i x="121" s="1"/>
        <i x="79" s="1"/>
        <i x="227" s="1"/>
        <i x="134" s="1"/>
        <i x="283" s="1"/>
        <i x="232" s="1"/>
        <i x="90" s="1"/>
        <i x="152" s="1"/>
        <i x="301" s="1"/>
        <i x="311" s="1"/>
        <i x="130" s="1"/>
        <i x="197" s="1"/>
        <i x="267" s="1"/>
        <i x="30" s="1"/>
        <i x="217" s="1"/>
        <i x="297" s="1"/>
        <i x="302" s="1"/>
        <i x="84" s="1"/>
        <i x="216" s="1"/>
        <i x="74" s="1"/>
        <i x="1" s="1"/>
        <i x="222" s="1"/>
        <i x="196" s="1"/>
        <i x="118" s="1"/>
        <i x="136" s="1"/>
        <i x="221" s="1"/>
        <i x="252" s="1"/>
        <i x="52" s="1"/>
        <i x="211" s="1"/>
        <i x="290" s="1"/>
        <i x="223" s="1"/>
        <i x="174" s="1"/>
        <i x="291" s="1"/>
        <i x="92" s="1"/>
        <i x="93" s="1"/>
        <i x="185" s="1"/>
        <i x="310" s="1"/>
        <i x="269" s="1"/>
        <i x="323" s="1"/>
        <i x="286" s="1"/>
        <i x="246" s="1"/>
        <i x="43" s="1"/>
        <i x="326" s="1"/>
        <i x="285" s="1"/>
        <i x="2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34E5C9E9-7DC9-4036-ACAF-D6439F6DAE62}" sourceName="Months (Order Date)">
  <pivotTables>
    <pivotTable tabId="3" name="PivotTable5"/>
    <pivotTable tabId="3" name="PivotTable2"/>
    <pivotTable tabId="3" name="PivotTable4"/>
    <pivotTable tabId="3" name="PivotTable6"/>
    <pivotTable tabId="3" name="PivotTable7"/>
  </pivotTables>
  <data>
    <tabular pivotCacheId="1752621698">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34630E98-676A-4321-B5F2-F6FF47633257}" sourceName="State">
  <pivotTables>
    <pivotTable tabId="3" name="PivotTable5"/>
    <pivotTable tabId="3" name="PivotTable2"/>
    <pivotTable tabId="3" name="PivotTable4"/>
    <pivotTable tabId="3" name="PivotTable6"/>
    <pivotTable tabId="3" name="PivotTable7"/>
  </pivotTables>
  <data>
    <tabular pivotCacheId="1752621698">
      <items count="12">
        <i x="11" s="1"/>
        <i x="5" s="1"/>
        <i x="3" s="1"/>
        <i x="10" s="1"/>
        <i x="6" s="1"/>
        <i x="1" s="1"/>
        <i x="8" s="1"/>
        <i x="7" s="1"/>
        <i x="9" s="1"/>
        <i x="0"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xr10:uid="{7C818952-9197-485A-84F1-6AE35196875A}" cache="Slicer_Sales" caption="Sales" rowHeight="234950"/>
  <slicer name="Months (Order Date)" xr10:uid="{64E021F9-E1BF-478A-801E-5610BA040BA6}" cache="Slicer_Months__Order_Date" caption="Months (Order Date)" rowHeight="234950"/>
  <slicer name="State" xr10:uid="{22E662DA-64E9-4FE9-A6BB-B967FECDB073}" cache="Slicer_State" caption="St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C01BC0-6773-4288-95E3-A21BFD5214DF}" name="Table1" displayName="Table1" ref="A1:P1001" totalsRowShown="0" headerRowDxfId="6" headerRowBorderDxfId="5" tableBorderDxfId="4">
  <autoFilter ref="A1:P1001" xr:uid="{00000000-0009-0000-0000-000000000000}"/>
  <sortState xmlns:xlrd2="http://schemas.microsoft.com/office/spreadsheetml/2017/richdata2" ref="A2:P1001">
    <sortCondition ref="A1:A1001"/>
  </sortState>
  <tableColumns count="16">
    <tableColumn id="1" xr3:uid="{B506A255-3A89-49DB-B657-FAC912347552}" name="Order ID"/>
    <tableColumn id="2" xr3:uid="{A5380FA2-B19F-4227-A9FA-1760DFC8DC80}" name="Order Date" dataDxfId="3"/>
    <tableColumn id="3" xr3:uid="{7A763F2E-7B88-4F6B-9D93-11CDCFD62EA3}" name="Customer Name"/>
    <tableColumn id="4" xr3:uid="{701CFF0B-66EC-43F4-A4D1-7783534BB235}" name="City"/>
    <tableColumn id="5" xr3:uid="{FE5D694F-B9E9-4E34-BCCB-0AF89EEC6C21}" name="State"/>
    <tableColumn id="6" xr3:uid="{E447CDF8-F7D7-4FF2-B935-9F3A145C5EC1}" name="Region"/>
    <tableColumn id="7" xr3:uid="{65996348-2B23-4120-B6C2-4E9EEAF9F6DE}" name="Category"/>
    <tableColumn id="8" xr3:uid="{811D5910-37AB-42C7-90FF-39F5D09EBAD7}" name="Sub-Category"/>
    <tableColumn id="9" xr3:uid="{C3ED0F40-9DBC-4F30-AF6B-2E87B6547D7A}" name="Product Name"/>
    <tableColumn id="10" xr3:uid="{D1209076-425A-4AC3-A2E5-44E05A204DE8}" name="Sales" dataDxfId="2"/>
    <tableColumn id="11" xr3:uid="{49415EA6-F6FE-43CF-9941-4F94871C70C1}" name="Quantity"/>
    <tableColumn id="12" xr3:uid="{7B246C04-87CE-4219-8378-04DE4118E931}" name="Discount" dataDxfId="1"/>
    <tableColumn id="13" xr3:uid="{2B6B35D0-71B9-4E6D-B331-B6AEBE787CE7}" name="Profit" dataDxfId="0"/>
    <tableColumn id="14" xr3:uid="{89947BE5-630A-447E-A3F5-D96A1AB7ED0C}" name="Payment Mode"/>
    <tableColumn id="15" xr3:uid="{8DDA7EB0-984F-4B29-9D2A-14297EAAA3D0}" name="Salesperson"/>
    <tableColumn id="16" xr3:uid="{B13FEB29-7F9A-4401-9274-7AED8F69BDF6}" name="Customer Seg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01"/>
  <sheetViews>
    <sheetView topLeftCell="C1" workbookViewId="0">
      <pane ySplit="1" topLeftCell="A2" activePane="bottomLeft" state="frozen"/>
      <selection pane="bottomLeft" activeCell="R11" sqref="R11"/>
    </sheetView>
  </sheetViews>
  <sheetFormatPr defaultRowHeight="14.4" x14ac:dyDescent="0.3"/>
  <cols>
    <col min="1" max="1" width="12.44140625" bestFit="1" customWidth="1"/>
    <col min="2" max="2" width="14.5546875" bestFit="1" customWidth="1"/>
    <col min="3" max="3" width="19.109375" bestFit="1" customWidth="1"/>
    <col min="4" max="4" width="12" bestFit="1" customWidth="1"/>
    <col min="5" max="5" width="16" customWidth="1"/>
    <col min="6" max="6" width="12" customWidth="1"/>
    <col min="7" max="7" width="17" customWidth="1"/>
    <col min="8" max="8" width="16.88671875" bestFit="1" customWidth="1"/>
    <col min="9" max="9" width="20" bestFit="1" customWidth="1"/>
    <col min="10" max="10" width="10.44140625" bestFit="1" customWidth="1"/>
    <col min="11" max="11" width="12" customWidth="1"/>
    <col min="12" max="12" width="12.77734375" bestFit="1" customWidth="1"/>
    <col min="13" max="13" width="12" customWidth="1"/>
    <col min="14" max="14" width="18.5546875" bestFit="1" customWidth="1"/>
    <col min="15" max="15" width="13" customWidth="1"/>
    <col min="16" max="16" width="18.88671875" customWidth="1"/>
    <col min="18" max="18" width="12.88671875" bestFit="1" customWidth="1"/>
  </cols>
  <sheetData>
    <row r="1" spans="1:18" x14ac:dyDescent="0.3">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row>
    <row r="2" spans="1:18" x14ac:dyDescent="0.3">
      <c r="A2" t="s">
        <v>580</v>
      </c>
      <c r="B2" s="1">
        <v>45872</v>
      </c>
      <c r="C2" t="s">
        <v>305</v>
      </c>
      <c r="D2" t="s">
        <v>152</v>
      </c>
      <c r="E2" t="s">
        <v>153</v>
      </c>
      <c r="F2" t="s">
        <v>20</v>
      </c>
      <c r="G2" t="s">
        <v>42</v>
      </c>
      <c r="H2" t="s">
        <v>43</v>
      </c>
      <c r="I2" t="s">
        <v>44</v>
      </c>
      <c r="J2" s="2">
        <v>21675</v>
      </c>
      <c r="K2">
        <v>3</v>
      </c>
      <c r="L2" s="2">
        <v>0.15</v>
      </c>
      <c r="M2" s="2">
        <v>4013.83</v>
      </c>
      <c r="N2" t="s">
        <v>114</v>
      </c>
      <c r="O2" t="s">
        <v>65</v>
      </c>
      <c r="P2" t="s">
        <v>55</v>
      </c>
    </row>
    <row r="3" spans="1:18" x14ac:dyDescent="0.3">
      <c r="A3" t="s">
        <v>993</v>
      </c>
      <c r="B3" s="1">
        <v>46117</v>
      </c>
      <c r="C3" t="s">
        <v>760</v>
      </c>
      <c r="D3" t="s">
        <v>82</v>
      </c>
      <c r="E3" t="s">
        <v>83</v>
      </c>
      <c r="F3" t="s">
        <v>52</v>
      </c>
      <c r="G3" t="s">
        <v>61</v>
      </c>
      <c r="H3" t="s">
        <v>98</v>
      </c>
      <c r="I3" t="s">
        <v>99</v>
      </c>
      <c r="J3" s="2">
        <v>171000</v>
      </c>
      <c r="K3">
        <v>6</v>
      </c>
      <c r="L3" s="2">
        <v>0.05</v>
      </c>
      <c r="M3" s="2">
        <v>19314.099999999999</v>
      </c>
      <c r="N3" t="s">
        <v>64</v>
      </c>
      <c r="O3" t="s">
        <v>108</v>
      </c>
      <c r="P3" t="s">
        <v>55</v>
      </c>
    </row>
    <row r="4" spans="1:18" x14ac:dyDescent="0.3">
      <c r="A4" t="s">
        <v>1046</v>
      </c>
      <c r="B4" s="1">
        <v>46142</v>
      </c>
      <c r="C4" t="s">
        <v>518</v>
      </c>
      <c r="D4" t="s">
        <v>173</v>
      </c>
      <c r="E4" t="s">
        <v>174</v>
      </c>
      <c r="F4" t="s">
        <v>60</v>
      </c>
      <c r="G4" t="s">
        <v>61</v>
      </c>
      <c r="H4" t="s">
        <v>62</v>
      </c>
      <c r="I4" t="s">
        <v>70</v>
      </c>
      <c r="J4" s="2">
        <v>5130</v>
      </c>
      <c r="K4">
        <v>3</v>
      </c>
      <c r="L4" s="2">
        <v>0.05</v>
      </c>
      <c r="M4" s="2">
        <v>1394.4</v>
      </c>
      <c r="N4" t="s">
        <v>114</v>
      </c>
      <c r="O4" t="s">
        <v>36</v>
      </c>
      <c r="P4" t="s">
        <v>55</v>
      </c>
    </row>
    <row r="5" spans="1:18" x14ac:dyDescent="0.3">
      <c r="A5" t="s">
        <v>801</v>
      </c>
      <c r="B5" s="1">
        <v>45997</v>
      </c>
      <c r="C5" t="s">
        <v>116</v>
      </c>
      <c r="D5" t="s">
        <v>166</v>
      </c>
      <c r="E5" t="s">
        <v>75</v>
      </c>
      <c r="F5" t="s">
        <v>20</v>
      </c>
      <c r="G5" t="s">
        <v>76</v>
      </c>
      <c r="H5" t="s">
        <v>122</v>
      </c>
      <c r="I5" t="s">
        <v>123</v>
      </c>
      <c r="J5" s="2">
        <v>11220</v>
      </c>
      <c r="K5">
        <v>6</v>
      </c>
      <c r="L5" s="2">
        <v>0.15</v>
      </c>
      <c r="M5" s="2">
        <v>1480.57</v>
      </c>
      <c r="N5" t="s">
        <v>24</v>
      </c>
      <c r="O5" t="s">
        <v>86</v>
      </c>
      <c r="P5" t="s">
        <v>55</v>
      </c>
    </row>
    <row r="6" spans="1:18" x14ac:dyDescent="0.3">
      <c r="A6" t="s">
        <v>365</v>
      </c>
      <c r="B6" s="1">
        <v>45763</v>
      </c>
      <c r="C6" t="s">
        <v>366</v>
      </c>
      <c r="D6" t="s">
        <v>74</v>
      </c>
      <c r="E6" t="s">
        <v>75</v>
      </c>
      <c r="F6" t="s">
        <v>20</v>
      </c>
      <c r="G6" t="s">
        <v>76</v>
      </c>
      <c r="H6" t="s">
        <v>122</v>
      </c>
      <c r="I6" t="s">
        <v>123</v>
      </c>
      <c r="J6" s="2">
        <v>3960</v>
      </c>
      <c r="K6">
        <v>2</v>
      </c>
      <c r="L6" s="2">
        <v>0.1</v>
      </c>
      <c r="M6" s="2">
        <v>523.28</v>
      </c>
      <c r="N6" t="s">
        <v>114</v>
      </c>
      <c r="O6" t="s">
        <v>71</v>
      </c>
      <c r="P6" t="s">
        <v>47</v>
      </c>
    </row>
    <row r="7" spans="1:18" x14ac:dyDescent="0.3">
      <c r="A7" t="s">
        <v>1388</v>
      </c>
      <c r="B7" s="1">
        <v>46384</v>
      </c>
      <c r="C7" t="s">
        <v>389</v>
      </c>
      <c r="D7" t="s">
        <v>68</v>
      </c>
      <c r="E7" t="s">
        <v>69</v>
      </c>
      <c r="F7" t="s">
        <v>41</v>
      </c>
      <c r="G7" t="s">
        <v>76</v>
      </c>
      <c r="H7" t="s">
        <v>122</v>
      </c>
      <c r="I7" t="s">
        <v>217</v>
      </c>
      <c r="J7" s="2">
        <v>6480</v>
      </c>
      <c r="K7">
        <v>4</v>
      </c>
      <c r="L7" s="2">
        <v>0.1</v>
      </c>
      <c r="M7" s="2">
        <v>1675.01</v>
      </c>
      <c r="N7" t="s">
        <v>114</v>
      </c>
      <c r="O7" t="s">
        <v>71</v>
      </c>
      <c r="P7" t="s">
        <v>55</v>
      </c>
    </row>
    <row r="8" spans="1:18" x14ac:dyDescent="0.3">
      <c r="A8" t="s">
        <v>234</v>
      </c>
      <c r="B8" s="1">
        <v>45722</v>
      </c>
      <c r="C8" t="s">
        <v>186</v>
      </c>
      <c r="D8" t="s">
        <v>104</v>
      </c>
      <c r="E8" t="s">
        <v>83</v>
      </c>
      <c r="F8" t="s">
        <v>52</v>
      </c>
      <c r="G8" t="s">
        <v>21</v>
      </c>
      <c r="H8" t="s">
        <v>22</v>
      </c>
      <c r="I8" t="s">
        <v>23</v>
      </c>
      <c r="J8" s="2">
        <v>1620</v>
      </c>
      <c r="K8">
        <v>4</v>
      </c>
      <c r="L8" s="2">
        <v>0.1</v>
      </c>
      <c r="M8" s="2">
        <v>206.12</v>
      </c>
      <c r="N8" t="s">
        <v>64</v>
      </c>
      <c r="O8" t="s">
        <v>86</v>
      </c>
      <c r="P8" t="s">
        <v>55</v>
      </c>
    </row>
    <row r="9" spans="1:18" x14ac:dyDescent="0.3">
      <c r="A9" t="s">
        <v>185</v>
      </c>
      <c r="B9" s="1">
        <v>45698</v>
      </c>
      <c r="C9" t="s">
        <v>186</v>
      </c>
      <c r="D9" t="s">
        <v>50</v>
      </c>
      <c r="E9" t="s">
        <v>51</v>
      </c>
      <c r="F9" t="s">
        <v>52</v>
      </c>
      <c r="G9" t="s">
        <v>61</v>
      </c>
      <c r="H9" t="s">
        <v>98</v>
      </c>
      <c r="I9" t="s">
        <v>156</v>
      </c>
      <c r="J9" s="2">
        <v>96900</v>
      </c>
      <c r="K9">
        <v>3</v>
      </c>
      <c r="L9" s="2">
        <v>0.15</v>
      </c>
      <c r="M9" s="2">
        <v>7939.21</v>
      </c>
      <c r="N9" t="s">
        <v>24</v>
      </c>
      <c r="O9" t="s">
        <v>71</v>
      </c>
      <c r="P9" t="s">
        <v>26</v>
      </c>
    </row>
    <row r="10" spans="1:18" x14ac:dyDescent="0.3">
      <c r="A10" t="s">
        <v>1233</v>
      </c>
      <c r="B10" s="1">
        <v>46270</v>
      </c>
      <c r="C10" t="s">
        <v>1234</v>
      </c>
      <c r="D10" t="s">
        <v>29</v>
      </c>
      <c r="E10" t="s">
        <v>30</v>
      </c>
      <c r="F10" t="s">
        <v>31</v>
      </c>
      <c r="G10" t="s">
        <v>32</v>
      </c>
      <c r="H10" t="s">
        <v>92</v>
      </c>
      <c r="I10" t="s">
        <v>93</v>
      </c>
      <c r="J10" s="2">
        <v>51750</v>
      </c>
      <c r="K10">
        <v>5</v>
      </c>
      <c r="L10" s="2">
        <v>0.1</v>
      </c>
      <c r="M10" s="2">
        <v>10020.84</v>
      </c>
      <c r="N10" t="s">
        <v>45</v>
      </c>
      <c r="O10" t="s">
        <v>25</v>
      </c>
      <c r="P10" t="s">
        <v>26</v>
      </c>
      <c r="R10" s="2">
        <f>SUM(Table1[Sales])</f>
        <v>35676490</v>
      </c>
    </row>
    <row r="11" spans="1:18" x14ac:dyDescent="0.3">
      <c r="A11" t="s">
        <v>995</v>
      </c>
      <c r="B11" s="1">
        <v>46118</v>
      </c>
      <c r="C11" t="s">
        <v>263</v>
      </c>
      <c r="D11" t="s">
        <v>58</v>
      </c>
      <c r="E11" t="s">
        <v>59</v>
      </c>
      <c r="F11" t="s">
        <v>60</v>
      </c>
      <c r="G11" t="s">
        <v>61</v>
      </c>
      <c r="H11" t="s">
        <v>62</v>
      </c>
      <c r="I11" t="s">
        <v>70</v>
      </c>
      <c r="J11" s="2">
        <v>4860</v>
      </c>
      <c r="K11">
        <v>3</v>
      </c>
      <c r="L11" s="2">
        <v>0.1</v>
      </c>
      <c r="M11" s="2">
        <v>778.83</v>
      </c>
      <c r="N11" t="s">
        <v>64</v>
      </c>
      <c r="O11" t="s">
        <v>65</v>
      </c>
      <c r="P11" t="s">
        <v>26</v>
      </c>
    </row>
    <row r="12" spans="1:18" x14ac:dyDescent="0.3">
      <c r="A12" t="s">
        <v>1358</v>
      </c>
      <c r="B12" s="1">
        <v>46356</v>
      </c>
      <c r="C12" t="s">
        <v>582</v>
      </c>
      <c r="D12" t="s">
        <v>29</v>
      </c>
      <c r="E12" t="s">
        <v>30</v>
      </c>
      <c r="F12" t="s">
        <v>31</v>
      </c>
      <c r="G12" t="s">
        <v>42</v>
      </c>
      <c r="H12" t="s">
        <v>53</v>
      </c>
      <c r="I12" t="s">
        <v>120</v>
      </c>
      <c r="J12" s="2">
        <v>18900</v>
      </c>
      <c r="K12">
        <v>5</v>
      </c>
      <c r="L12" s="2">
        <v>0.1</v>
      </c>
      <c r="M12" s="2">
        <v>2006.87</v>
      </c>
      <c r="N12" t="s">
        <v>24</v>
      </c>
      <c r="O12" t="s">
        <v>71</v>
      </c>
      <c r="P12" t="s">
        <v>47</v>
      </c>
    </row>
    <row r="13" spans="1:18" x14ac:dyDescent="0.3">
      <c r="A13" t="s">
        <v>782</v>
      </c>
      <c r="B13" s="1">
        <v>45988</v>
      </c>
      <c r="C13" t="s">
        <v>307</v>
      </c>
      <c r="D13" t="s">
        <v>39</v>
      </c>
      <c r="E13" t="s">
        <v>40</v>
      </c>
      <c r="F13" t="s">
        <v>41</v>
      </c>
      <c r="G13" t="s">
        <v>32</v>
      </c>
      <c r="H13" t="s">
        <v>84</v>
      </c>
      <c r="I13" t="s">
        <v>140</v>
      </c>
      <c r="J13" s="2">
        <v>40500</v>
      </c>
      <c r="K13">
        <v>6</v>
      </c>
      <c r="L13" s="2">
        <v>0.1</v>
      </c>
      <c r="M13" s="2">
        <v>4638.18</v>
      </c>
      <c r="N13" t="s">
        <v>64</v>
      </c>
      <c r="O13" t="s">
        <v>25</v>
      </c>
      <c r="P13" t="s">
        <v>26</v>
      </c>
    </row>
    <row r="14" spans="1:18" x14ac:dyDescent="0.3">
      <c r="A14" t="s">
        <v>1283</v>
      </c>
      <c r="B14" s="1">
        <v>46306</v>
      </c>
      <c r="C14" t="s">
        <v>553</v>
      </c>
      <c r="D14" t="s">
        <v>50</v>
      </c>
      <c r="E14" t="s">
        <v>51</v>
      </c>
      <c r="F14" t="s">
        <v>52</v>
      </c>
      <c r="G14" t="s">
        <v>32</v>
      </c>
      <c r="H14" t="s">
        <v>84</v>
      </c>
      <c r="I14" t="s">
        <v>85</v>
      </c>
      <c r="J14" s="2">
        <v>53125</v>
      </c>
      <c r="K14">
        <v>5</v>
      </c>
      <c r="L14" s="2">
        <v>0.15</v>
      </c>
      <c r="M14" s="2">
        <v>3518.43</v>
      </c>
      <c r="N14" t="s">
        <v>45</v>
      </c>
      <c r="O14" t="s">
        <v>108</v>
      </c>
      <c r="P14" t="s">
        <v>55</v>
      </c>
    </row>
    <row r="15" spans="1:18" x14ac:dyDescent="0.3">
      <c r="A15" t="s">
        <v>679</v>
      </c>
      <c r="B15" s="1">
        <v>45925</v>
      </c>
      <c r="C15" t="s">
        <v>190</v>
      </c>
      <c r="D15" t="s">
        <v>50</v>
      </c>
      <c r="E15" t="s">
        <v>51</v>
      </c>
      <c r="F15" t="s">
        <v>52</v>
      </c>
      <c r="G15" t="s">
        <v>32</v>
      </c>
      <c r="H15" t="s">
        <v>84</v>
      </c>
      <c r="I15" t="s">
        <v>85</v>
      </c>
      <c r="J15" s="2">
        <v>11875</v>
      </c>
      <c r="K15">
        <v>1</v>
      </c>
      <c r="L15" s="2">
        <v>0.05</v>
      </c>
      <c r="M15" s="2">
        <v>1059.3599999999999</v>
      </c>
      <c r="N15" t="s">
        <v>45</v>
      </c>
      <c r="O15" t="s">
        <v>25</v>
      </c>
      <c r="P15" t="s">
        <v>26</v>
      </c>
    </row>
    <row r="16" spans="1:18" x14ac:dyDescent="0.3">
      <c r="A16" t="s">
        <v>601</v>
      </c>
      <c r="B16" s="1">
        <v>45882</v>
      </c>
      <c r="C16" t="s">
        <v>602</v>
      </c>
      <c r="D16" t="s">
        <v>119</v>
      </c>
      <c r="E16" t="s">
        <v>75</v>
      </c>
      <c r="F16" t="s">
        <v>20</v>
      </c>
      <c r="G16" t="s">
        <v>76</v>
      </c>
      <c r="H16" t="s">
        <v>77</v>
      </c>
      <c r="I16" t="s">
        <v>78</v>
      </c>
      <c r="J16" s="2">
        <v>1920</v>
      </c>
      <c r="K16">
        <v>1</v>
      </c>
      <c r="L16" s="2">
        <v>0.2</v>
      </c>
      <c r="M16" s="2">
        <v>290.97000000000003</v>
      </c>
      <c r="N16" t="s">
        <v>35</v>
      </c>
      <c r="O16" t="s">
        <v>105</v>
      </c>
      <c r="P16" t="s">
        <v>47</v>
      </c>
    </row>
    <row r="17" spans="1:16" x14ac:dyDescent="0.3">
      <c r="A17" t="s">
        <v>735</v>
      </c>
      <c r="B17" s="1">
        <v>45951</v>
      </c>
      <c r="C17" t="s">
        <v>127</v>
      </c>
      <c r="D17" t="s">
        <v>29</v>
      </c>
      <c r="E17" t="s">
        <v>30</v>
      </c>
      <c r="F17" t="s">
        <v>31</v>
      </c>
      <c r="G17" t="s">
        <v>21</v>
      </c>
      <c r="H17" t="s">
        <v>179</v>
      </c>
      <c r="I17" t="s">
        <v>180</v>
      </c>
      <c r="J17" s="2">
        <v>9600</v>
      </c>
      <c r="K17">
        <v>4</v>
      </c>
      <c r="L17" s="2">
        <v>0</v>
      </c>
      <c r="M17" s="2">
        <v>1477.74</v>
      </c>
      <c r="N17" t="s">
        <v>35</v>
      </c>
      <c r="O17" t="s">
        <v>79</v>
      </c>
      <c r="P17" t="s">
        <v>47</v>
      </c>
    </row>
    <row r="18" spans="1:16" x14ac:dyDescent="0.3">
      <c r="A18" t="s">
        <v>1307</v>
      </c>
      <c r="B18" s="1">
        <v>46317</v>
      </c>
      <c r="C18" t="s">
        <v>540</v>
      </c>
      <c r="D18" t="s">
        <v>50</v>
      </c>
      <c r="E18" t="s">
        <v>51</v>
      </c>
      <c r="F18" t="s">
        <v>52</v>
      </c>
      <c r="G18" t="s">
        <v>42</v>
      </c>
      <c r="H18" t="s">
        <v>279</v>
      </c>
      <c r="I18" t="s">
        <v>280</v>
      </c>
      <c r="J18" s="2">
        <v>12500</v>
      </c>
      <c r="K18">
        <v>1</v>
      </c>
      <c r="L18" s="2">
        <v>0</v>
      </c>
      <c r="M18" s="2">
        <v>2270.5</v>
      </c>
      <c r="N18" t="s">
        <v>35</v>
      </c>
      <c r="O18" t="s">
        <v>135</v>
      </c>
      <c r="P18" t="s">
        <v>55</v>
      </c>
    </row>
    <row r="19" spans="1:16" x14ac:dyDescent="0.3">
      <c r="A19" t="s">
        <v>1274</v>
      </c>
      <c r="B19" s="1">
        <v>46298</v>
      </c>
      <c r="C19" t="s">
        <v>216</v>
      </c>
      <c r="D19" t="s">
        <v>74</v>
      </c>
      <c r="E19" t="s">
        <v>75</v>
      </c>
      <c r="F19" t="s">
        <v>20</v>
      </c>
      <c r="G19" t="s">
        <v>32</v>
      </c>
      <c r="H19" t="s">
        <v>33</v>
      </c>
      <c r="I19" t="s">
        <v>34</v>
      </c>
      <c r="J19" s="2">
        <v>21080</v>
      </c>
      <c r="K19">
        <v>4</v>
      </c>
      <c r="L19" s="2">
        <v>0.15</v>
      </c>
      <c r="M19" s="2">
        <v>3040.75</v>
      </c>
      <c r="N19" t="s">
        <v>64</v>
      </c>
      <c r="O19" t="s">
        <v>36</v>
      </c>
      <c r="P19" t="s">
        <v>47</v>
      </c>
    </row>
    <row r="20" spans="1:16" x14ac:dyDescent="0.3">
      <c r="A20" t="s">
        <v>1181</v>
      </c>
      <c r="B20" s="1">
        <v>46229</v>
      </c>
      <c r="C20" t="s">
        <v>534</v>
      </c>
      <c r="D20" t="s">
        <v>152</v>
      </c>
      <c r="E20" t="s">
        <v>153</v>
      </c>
      <c r="F20" t="s">
        <v>20</v>
      </c>
      <c r="G20" t="s">
        <v>21</v>
      </c>
      <c r="H20" t="s">
        <v>22</v>
      </c>
      <c r="I20" t="s">
        <v>111</v>
      </c>
      <c r="J20" s="2">
        <v>855</v>
      </c>
      <c r="K20">
        <v>3</v>
      </c>
      <c r="L20" s="2">
        <v>0.05</v>
      </c>
      <c r="M20" s="2">
        <v>91.98</v>
      </c>
      <c r="N20" t="s">
        <v>64</v>
      </c>
      <c r="O20" t="s">
        <v>105</v>
      </c>
      <c r="P20" t="s">
        <v>26</v>
      </c>
    </row>
    <row r="21" spans="1:16" x14ac:dyDescent="0.3">
      <c r="A21" t="s">
        <v>470</v>
      </c>
      <c r="B21" s="1">
        <v>45809</v>
      </c>
      <c r="C21" t="s">
        <v>137</v>
      </c>
      <c r="D21" t="s">
        <v>29</v>
      </c>
      <c r="E21" t="s">
        <v>30</v>
      </c>
      <c r="F21" t="s">
        <v>31</v>
      </c>
      <c r="G21" t="s">
        <v>21</v>
      </c>
      <c r="H21" t="s">
        <v>22</v>
      </c>
      <c r="I21" t="s">
        <v>23</v>
      </c>
      <c r="J21" s="2">
        <v>427.5</v>
      </c>
      <c r="K21">
        <v>1</v>
      </c>
      <c r="L21" s="2">
        <v>0.05</v>
      </c>
      <c r="M21" s="2">
        <v>93.28</v>
      </c>
      <c r="N21" t="s">
        <v>24</v>
      </c>
      <c r="O21" t="s">
        <v>25</v>
      </c>
      <c r="P21" t="s">
        <v>47</v>
      </c>
    </row>
    <row r="22" spans="1:16" x14ac:dyDescent="0.3">
      <c r="A22" t="s">
        <v>797</v>
      </c>
      <c r="B22" s="1">
        <v>45995</v>
      </c>
      <c r="C22" t="s">
        <v>798</v>
      </c>
      <c r="D22" t="s">
        <v>18</v>
      </c>
      <c r="E22" t="s">
        <v>19</v>
      </c>
      <c r="F22" t="s">
        <v>20</v>
      </c>
      <c r="G22" t="s">
        <v>21</v>
      </c>
      <c r="H22" t="s">
        <v>179</v>
      </c>
      <c r="I22" t="s">
        <v>180</v>
      </c>
      <c r="J22" s="2">
        <v>12240</v>
      </c>
      <c r="K22">
        <v>6</v>
      </c>
      <c r="L22" s="2">
        <v>0.15</v>
      </c>
      <c r="M22" s="2">
        <v>3218.8</v>
      </c>
      <c r="N22" t="s">
        <v>45</v>
      </c>
      <c r="O22" t="s">
        <v>36</v>
      </c>
      <c r="P22" t="s">
        <v>26</v>
      </c>
    </row>
    <row r="23" spans="1:16" x14ac:dyDescent="0.3">
      <c r="A23" t="s">
        <v>1273</v>
      </c>
      <c r="B23" s="1">
        <v>46297</v>
      </c>
      <c r="C23" t="s">
        <v>884</v>
      </c>
      <c r="D23" t="s">
        <v>134</v>
      </c>
      <c r="E23" t="s">
        <v>75</v>
      </c>
      <c r="F23" t="s">
        <v>20</v>
      </c>
      <c r="G23" t="s">
        <v>61</v>
      </c>
      <c r="H23" t="s">
        <v>62</v>
      </c>
      <c r="I23" t="s">
        <v>63</v>
      </c>
      <c r="J23" s="2">
        <v>3420</v>
      </c>
      <c r="K23">
        <v>4</v>
      </c>
      <c r="L23" s="2">
        <v>0.05</v>
      </c>
      <c r="M23" s="2">
        <v>761.73</v>
      </c>
      <c r="N23" t="s">
        <v>45</v>
      </c>
      <c r="O23" t="s">
        <v>135</v>
      </c>
      <c r="P23" t="s">
        <v>47</v>
      </c>
    </row>
    <row r="24" spans="1:16" x14ac:dyDescent="0.3">
      <c r="A24" t="s">
        <v>150</v>
      </c>
      <c r="B24" s="1">
        <v>45684</v>
      </c>
      <c r="C24" t="s">
        <v>151</v>
      </c>
      <c r="D24" t="s">
        <v>152</v>
      </c>
      <c r="E24" t="s">
        <v>153</v>
      </c>
      <c r="F24" t="s">
        <v>20</v>
      </c>
      <c r="G24" t="s">
        <v>61</v>
      </c>
      <c r="H24" t="s">
        <v>62</v>
      </c>
      <c r="I24" t="s">
        <v>70</v>
      </c>
      <c r="J24" s="2">
        <v>8640</v>
      </c>
      <c r="K24">
        <v>6</v>
      </c>
      <c r="L24" s="2">
        <v>0.2</v>
      </c>
      <c r="M24" s="2">
        <v>1289.32</v>
      </c>
      <c r="N24" t="s">
        <v>64</v>
      </c>
      <c r="O24" t="s">
        <v>25</v>
      </c>
      <c r="P24" t="s">
        <v>26</v>
      </c>
    </row>
    <row r="25" spans="1:16" x14ac:dyDescent="0.3">
      <c r="A25" t="s">
        <v>586</v>
      </c>
      <c r="B25" s="1">
        <v>45877</v>
      </c>
      <c r="C25" t="s">
        <v>168</v>
      </c>
      <c r="D25" t="s">
        <v>68</v>
      </c>
      <c r="E25" t="s">
        <v>69</v>
      </c>
      <c r="F25" t="s">
        <v>41</v>
      </c>
      <c r="G25" t="s">
        <v>42</v>
      </c>
      <c r="H25" t="s">
        <v>43</v>
      </c>
      <c r="I25" t="s">
        <v>44</v>
      </c>
      <c r="J25" s="2">
        <v>34000</v>
      </c>
      <c r="K25">
        <v>4</v>
      </c>
      <c r="L25" s="2">
        <v>0</v>
      </c>
      <c r="M25" s="2">
        <v>7109.21</v>
      </c>
      <c r="N25" t="s">
        <v>45</v>
      </c>
      <c r="O25" t="s">
        <v>36</v>
      </c>
      <c r="P25" t="s">
        <v>26</v>
      </c>
    </row>
    <row r="26" spans="1:16" x14ac:dyDescent="0.3">
      <c r="A26" t="s">
        <v>655</v>
      </c>
      <c r="B26" s="1">
        <v>45910</v>
      </c>
      <c r="C26" t="s">
        <v>602</v>
      </c>
      <c r="D26" t="s">
        <v>18</v>
      </c>
      <c r="E26" t="s">
        <v>19</v>
      </c>
      <c r="F26" t="s">
        <v>20</v>
      </c>
      <c r="G26" t="s">
        <v>32</v>
      </c>
      <c r="H26" t="s">
        <v>92</v>
      </c>
      <c r="I26" t="s">
        <v>93</v>
      </c>
      <c r="J26" s="2">
        <v>51750</v>
      </c>
      <c r="K26">
        <v>5</v>
      </c>
      <c r="L26" s="2">
        <v>0.1</v>
      </c>
      <c r="M26" s="2">
        <v>13988.69</v>
      </c>
      <c r="N26" t="s">
        <v>35</v>
      </c>
      <c r="O26" t="s">
        <v>36</v>
      </c>
      <c r="P26" t="s">
        <v>47</v>
      </c>
    </row>
    <row r="27" spans="1:16" x14ac:dyDescent="0.3">
      <c r="A27" t="s">
        <v>1271</v>
      </c>
      <c r="B27" s="1">
        <v>46296</v>
      </c>
      <c r="C27" t="s">
        <v>344</v>
      </c>
      <c r="D27" t="s">
        <v>96</v>
      </c>
      <c r="E27" t="s">
        <v>97</v>
      </c>
      <c r="F27" t="s">
        <v>20</v>
      </c>
      <c r="G27" t="s">
        <v>42</v>
      </c>
      <c r="H27" t="s">
        <v>43</v>
      </c>
      <c r="I27" t="s">
        <v>44</v>
      </c>
      <c r="J27" s="2">
        <v>51000</v>
      </c>
      <c r="K27">
        <v>6</v>
      </c>
      <c r="L27" s="2">
        <v>0</v>
      </c>
      <c r="M27" s="2">
        <v>10353.07</v>
      </c>
      <c r="N27" t="s">
        <v>35</v>
      </c>
      <c r="O27" t="s">
        <v>25</v>
      </c>
      <c r="P27" t="s">
        <v>26</v>
      </c>
    </row>
    <row r="28" spans="1:16" x14ac:dyDescent="0.3">
      <c r="A28" t="s">
        <v>918</v>
      </c>
      <c r="B28" s="1">
        <v>46065</v>
      </c>
      <c r="C28" t="s">
        <v>213</v>
      </c>
      <c r="D28" t="s">
        <v>91</v>
      </c>
      <c r="E28" t="s">
        <v>91</v>
      </c>
      <c r="F28" t="s">
        <v>60</v>
      </c>
      <c r="G28" t="s">
        <v>42</v>
      </c>
      <c r="H28" t="s">
        <v>279</v>
      </c>
      <c r="I28" t="s">
        <v>280</v>
      </c>
      <c r="J28" s="2">
        <v>59375</v>
      </c>
      <c r="K28">
        <v>5</v>
      </c>
      <c r="L28" s="2">
        <v>0.05</v>
      </c>
      <c r="M28" s="2">
        <v>9510.4</v>
      </c>
      <c r="N28" t="s">
        <v>35</v>
      </c>
      <c r="O28" t="s">
        <v>46</v>
      </c>
      <c r="P28" t="s">
        <v>26</v>
      </c>
    </row>
    <row r="29" spans="1:16" x14ac:dyDescent="0.3">
      <c r="A29" t="s">
        <v>328</v>
      </c>
      <c r="B29" s="1">
        <v>45749</v>
      </c>
      <c r="C29" t="s">
        <v>329</v>
      </c>
      <c r="D29" t="s">
        <v>134</v>
      </c>
      <c r="E29" t="s">
        <v>75</v>
      </c>
      <c r="F29" t="s">
        <v>20</v>
      </c>
      <c r="G29" t="s">
        <v>42</v>
      </c>
      <c r="H29" t="s">
        <v>53</v>
      </c>
      <c r="I29" t="s">
        <v>120</v>
      </c>
      <c r="J29" s="2">
        <v>21420</v>
      </c>
      <c r="K29">
        <v>6</v>
      </c>
      <c r="L29" s="2">
        <v>0.15</v>
      </c>
      <c r="M29" s="2">
        <v>5257.14</v>
      </c>
      <c r="N29" t="s">
        <v>45</v>
      </c>
      <c r="O29" t="s">
        <v>36</v>
      </c>
      <c r="P29" t="s">
        <v>47</v>
      </c>
    </row>
    <row r="30" spans="1:16" x14ac:dyDescent="0.3">
      <c r="A30" t="s">
        <v>215</v>
      </c>
      <c r="B30" s="1">
        <v>45711</v>
      </c>
      <c r="C30" t="s">
        <v>216</v>
      </c>
      <c r="D30" t="s">
        <v>96</v>
      </c>
      <c r="E30" t="s">
        <v>97</v>
      </c>
      <c r="F30" t="s">
        <v>20</v>
      </c>
      <c r="G30" t="s">
        <v>76</v>
      </c>
      <c r="H30" t="s">
        <v>122</v>
      </c>
      <c r="I30" t="s">
        <v>217</v>
      </c>
      <c r="J30" s="2">
        <v>3060</v>
      </c>
      <c r="K30">
        <v>2</v>
      </c>
      <c r="L30" s="2">
        <v>0.15</v>
      </c>
      <c r="M30" s="2">
        <v>373.22</v>
      </c>
      <c r="N30" t="s">
        <v>114</v>
      </c>
      <c r="O30" t="s">
        <v>25</v>
      </c>
      <c r="P30" t="s">
        <v>26</v>
      </c>
    </row>
    <row r="31" spans="1:16" x14ac:dyDescent="0.3">
      <c r="A31" t="s">
        <v>1296</v>
      </c>
      <c r="B31" s="1">
        <v>46313</v>
      </c>
      <c r="C31" t="s">
        <v>370</v>
      </c>
      <c r="D31" t="s">
        <v>68</v>
      </c>
      <c r="E31" t="s">
        <v>69</v>
      </c>
      <c r="F31" t="s">
        <v>41</v>
      </c>
      <c r="G31" t="s">
        <v>61</v>
      </c>
      <c r="H31" t="s">
        <v>62</v>
      </c>
      <c r="I31" t="s">
        <v>63</v>
      </c>
      <c r="J31" s="2">
        <v>3060</v>
      </c>
      <c r="K31">
        <v>4</v>
      </c>
      <c r="L31" s="2">
        <v>0.15</v>
      </c>
      <c r="M31" s="2">
        <v>321.93</v>
      </c>
      <c r="N31" t="s">
        <v>24</v>
      </c>
      <c r="O31" t="s">
        <v>108</v>
      </c>
      <c r="P31" t="s">
        <v>47</v>
      </c>
    </row>
    <row r="32" spans="1:16" x14ac:dyDescent="0.3">
      <c r="A32" t="s">
        <v>383</v>
      </c>
      <c r="B32" s="1">
        <v>45774</v>
      </c>
      <c r="C32" t="s">
        <v>384</v>
      </c>
      <c r="D32" t="s">
        <v>74</v>
      </c>
      <c r="E32" t="s">
        <v>75</v>
      </c>
      <c r="F32" t="s">
        <v>20</v>
      </c>
      <c r="G32" t="s">
        <v>42</v>
      </c>
      <c r="H32" t="s">
        <v>43</v>
      </c>
      <c r="I32" t="s">
        <v>44</v>
      </c>
      <c r="J32" s="2">
        <v>24225</v>
      </c>
      <c r="K32">
        <v>3</v>
      </c>
      <c r="L32" s="2">
        <v>0.05</v>
      </c>
      <c r="M32" s="2">
        <v>2254.4899999999998</v>
      </c>
      <c r="N32" t="s">
        <v>114</v>
      </c>
      <c r="O32" t="s">
        <v>25</v>
      </c>
      <c r="P32" t="s">
        <v>47</v>
      </c>
    </row>
    <row r="33" spans="1:16" x14ac:dyDescent="0.3">
      <c r="A33" t="s">
        <v>689</v>
      </c>
      <c r="B33" s="1">
        <v>45929</v>
      </c>
      <c r="C33" t="s">
        <v>326</v>
      </c>
      <c r="D33" t="s">
        <v>58</v>
      </c>
      <c r="E33" t="s">
        <v>59</v>
      </c>
      <c r="F33" t="s">
        <v>60</v>
      </c>
      <c r="G33" t="s">
        <v>61</v>
      </c>
      <c r="H33" t="s">
        <v>128</v>
      </c>
      <c r="I33" t="s">
        <v>195</v>
      </c>
      <c r="J33" s="2">
        <v>348000</v>
      </c>
      <c r="K33">
        <v>6</v>
      </c>
      <c r="L33" s="2">
        <v>0</v>
      </c>
      <c r="M33" s="2">
        <v>40567.47</v>
      </c>
      <c r="N33" t="s">
        <v>114</v>
      </c>
      <c r="O33" t="s">
        <v>79</v>
      </c>
      <c r="P33" t="s">
        <v>26</v>
      </c>
    </row>
    <row r="34" spans="1:16" x14ac:dyDescent="0.3">
      <c r="A34" t="s">
        <v>243</v>
      </c>
      <c r="B34" s="1">
        <v>45726</v>
      </c>
      <c r="C34" t="s">
        <v>244</v>
      </c>
      <c r="D34" t="s">
        <v>152</v>
      </c>
      <c r="E34" t="s">
        <v>153</v>
      </c>
      <c r="F34" t="s">
        <v>20</v>
      </c>
      <c r="G34" t="s">
        <v>61</v>
      </c>
      <c r="H34" t="s">
        <v>128</v>
      </c>
      <c r="I34" t="s">
        <v>195</v>
      </c>
      <c r="J34" s="2">
        <v>147900</v>
      </c>
      <c r="K34">
        <v>3</v>
      </c>
      <c r="L34" s="2">
        <v>0.15</v>
      </c>
      <c r="M34" s="2">
        <v>10891</v>
      </c>
      <c r="N34" t="s">
        <v>24</v>
      </c>
      <c r="O34" t="s">
        <v>105</v>
      </c>
      <c r="P34" t="s">
        <v>47</v>
      </c>
    </row>
    <row r="35" spans="1:16" x14ac:dyDescent="0.3">
      <c r="A35" t="s">
        <v>1109</v>
      </c>
      <c r="B35" s="1">
        <v>46179</v>
      </c>
      <c r="C35" t="s">
        <v>127</v>
      </c>
      <c r="D35" t="s">
        <v>58</v>
      </c>
      <c r="E35" t="s">
        <v>59</v>
      </c>
      <c r="F35" t="s">
        <v>60</v>
      </c>
      <c r="G35" t="s">
        <v>21</v>
      </c>
      <c r="H35" t="s">
        <v>179</v>
      </c>
      <c r="I35" t="s">
        <v>180</v>
      </c>
      <c r="J35" s="2">
        <v>9600</v>
      </c>
      <c r="K35">
        <v>4</v>
      </c>
      <c r="L35" s="2">
        <v>0</v>
      </c>
      <c r="M35" s="2">
        <v>1601</v>
      </c>
      <c r="N35" t="s">
        <v>35</v>
      </c>
      <c r="O35" t="s">
        <v>65</v>
      </c>
      <c r="P35" t="s">
        <v>55</v>
      </c>
    </row>
    <row r="36" spans="1:16" x14ac:dyDescent="0.3">
      <c r="A36" t="s">
        <v>794</v>
      </c>
      <c r="B36" s="1">
        <v>45993</v>
      </c>
      <c r="C36" t="s">
        <v>225</v>
      </c>
      <c r="D36" t="s">
        <v>58</v>
      </c>
      <c r="E36" t="s">
        <v>59</v>
      </c>
      <c r="F36" t="s">
        <v>60</v>
      </c>
      <c r="G36" t="s">
        <v>21</v>
      </c>
      <c r="H36" t="s">
        <v>22</v>
      </c>
      <c r="I36" t="s">
        <v>111</v>
      </c>
      <c r="J36" s="2">
        <v>270</v>
      </c>
      <c r="K36">
        <v>1</v>
      </c>
      <c r="L36" s="2">
        <v>0.1</v>
      </c>
      <c r="M36" s="2">
        <v>55.52</v>
      </c>
      <c r="N36" t="s">
        <v>24</v>
      </c>
      <c r="O36" t="s">
        <v>65</v>
      </c>
      <c r="P36" t="s">
        <v>47</v>
      </c>
    </row>
    <row r="37" spans="1:16" x14ac:dyDescent="0.3">
      <c r="A37" t="s">
        <v>926</v>
      </c>
      <c r="B37" s="1">
        <v>46074</v>
      </c>
      <c r="C37" t="s">
        <v>927</v>
      </c>
      <c r="D37" t="s">
        <v>74</v>
      </c>
      <c r="E37" t="s">
        <v>75</v>
      </c>
      <c r="F37" t="s">
        <v>20</v>
      </c>
      <c r="G37" t="s">
        <v>21</v>
      </c>
      <c r="H37" t="s">
        <v>22</v>
      </c>
      <c r="I37" t="s">
        <v>23</v>
      </c>
      <c r="J37" s="2">
        <v>2025</v>
      </c>
      <c r="K37">
        <v>5</v>
      </c>
      <c r="L37" s="2">
        <v>0.1</v>
      </c>
      <c r="M37" s="2">
        <v>525.35</v>
      </c>
      <c r="N37" t="s">
        <v>45</v>
      </c>
      <c r="O37" t="s">
        <v>71</v>
      </c>
      <c r="P37" t="s">
        <v>26</v>
      </c>
    </row>
    <row r="38" spans="1:16" x14ac:dyDescent="0.3">
      <c r="A38" t="s">
        <v>931</v>
      </c>
      <c r="B38" s="1">
        <v>46075</v>
      </c>
      <c r="C38" t="s">
        <v>516</v>
      </c>
      <c r="D38" t="s">
        <v>74</v>
      </c>
      <c r="E38" t="s">
        <v>75</v>
      </c>
      <c r="F38" t="s">
        <v>20</v>
      </c>
      <c r="G38" t="s">
        <v>21</v>
      </c>
      <c r="H38" t="s">
        <v>179</v>
      </c>
      <c r="I38" t="s">
        <v>180</v>
      </c>
      <c r="J38" s="2">
        <v>2160</v>
      </c>
      <c r="K38">
        <v>1</v>
      </c>
      <c r="L38" s="2">
        <v>0.1</v>
      </c>
      <c r="M38" s="2">
        <v>313.77</v>
      </c>
      <c r="N38" t="s">
        <v>24</v>
      </c>
      <c r="O38" t="s">
        <v>108</v>
      </c>
      <c r="P38" t="s">
        <v>26</v>
      </c>
    </row>
    <row r="39" spans="1:16" x14ac:dyDescent="0.3">
      <c r="A39" t="s">
        <v>990</v>
      </c>
      <c r="B39" s="1">
        <v>46114</v>
      </c>
      <c r="C39" t="s">
        <v>991</v>
      </c>
      <c r="D39" t="s">
        <v>166</v>
      </c>
      <c r="E39" t="s">
        <v>75</v>
      </c>
      <c r="F39" t="s">
        <v>20</v>
      </c>
      <c r="G39" t="s">
        <v>21</v>
      </c>
      <c r="H39" t="s">
        <v>22</v>
      </c>
      <c r="I39" t="s">
        <v>23</v>
      </c>
      <c r="J39" s="2">
        <v>1710</v>
      </c>
      <c r="K39">
        <v>4</v>
      </c>
      <c r="L39" s="2">
        <v>0.05</v>
      </c>
      <c r="M39" s="2">
        <v>458.75</v>
      </c>
      <c r="N39" t="s">
        <v>45</v>
      </c>
      <c r="O39" t="s">
        <v>65</v>
      </c>
      <c r="P39" t="s">
        <v>47</v>
      </c>
    </row>
    <row r="40" spans="1:16" x14ac:dyDescent="0.3">
      <c r="A40" t="s">
        <v>707</v>
      </c>
      <c r="B40" s="1">
        <v>45936</v>
      </c>
      <c r="C40" t="s">
        <v>708</v>
      </c>
      <c r="D40" t="s">
        <v>119</v>
      </c>
      <c r="E40" t="s">
        <v>75</v>
      </c>
      <c r="F40" t="s">
        <v>20</v>
      </c>
      <c r="G40" t="s">
        <v>42</v>
      </c>
      <c r="H40" t="s">
        <v>279</v>
      </c>
      <c r="I40" t="s">
        <v>280</v>
      </c>
      <c r="J40" s="2">
        <v>67500</v>
      </c>
      <c r="K40">
        <v>6</v>
      </c>
      <c r="L40" s="2">
        <v>0.1</v>
      </c>
      <c r="M40" s="2">
        <v>7824.66</v>
      </c>
      <c r="N40" t="s">
        <v>64</v>
      </c>
      <c r="O40" t="s">
        <v>25</v>
      </c>
      <c r="P40" t="s">
        <v>47</v>
      </c>
    </row>
    <row r="41" spans="1:16" x14ac:dyDescent="0.3">
      <c r="A41" t="s">
        <v>621</v>
      </c>
      <c r="B41" s="1">
        <v>45890</v>
      </c>
      <c r="C41" t="s">
        <v>622</v>
      </c>
      <c r="D41" t="s">
        <v>134</v>
      </c>
      <c r="E41" t="s">
        <v>75</v>
      </c>
      <c r="F41" t="s">
        <v>20</v>
      </c>
      <c r="G41" t="s">
        <v>42</v>
      </c>
      <c r="H41" t="s">
        <v>53</v>
      </c>
      <c r="I41" t="s">
        <v>54</v>
      </c>
      <c r="J41" s="2">
        <v>7650</v>
      </c>
      <c r="K41">
        <v>5</v>
      </c>
      <c r="L41" s="2">
        <v>0.15</v>
      </c>
      <c r="M41" s="2">
        <v>1148.8599999999999</v>
      </c>
      <c r="N41" t="s">
        <v>64</v>
      </c>
      <c r="O41" t="s">
        <v>46</v>
      </c>
      <c r="P41" t="s">
        <v>47</v>
      </c>
    </row>
    <row r="42" spans="1:16" x14ac:dyDescent="0.3">
      <c r="A42" t="s">
        <v>147</v>
      </c>
      <c r="B42" s="1">
        <v>45682</v>
      </c>
      <c r="C42" t="s">
        <v>148</v>
      </c>
      <c r="D42" t="s">
        <v>96</v>
      </c>
      <c r="E42" t="s">
        <v>97</v>
      </c>
      <c r="F42" t="s">
        <v>20</v>
      </c>
      <c r="G42" t="s">
        <v>76</v>
      </c>
      <c r="H42" t="s">
        <v>77</v>
      </c>
      <c r="I42" t="s">
        <v>78</v>
      </c>
      <c r="J42" s="2">
        <v>4320</v>
      </c>
      <c r="K42">
        <v>2</v>
      </c>
      <c r="L42" s="2">
        <v>0.1</v>
      </c>
      <c r="M42" s="2">
        <v>698.79</v>
      </c>
      <c r="N42" t="s">
        <v>114</v>
      </c>
      <c r="O42" t="s">
        <v>65</v>
      </c>
      <c r="P42" t="s">
        <v>26</v>
      </c>
    </row>
    <row r="43" spans="1:16" x14ac:dyDescent="0.3">
      <c r="A43" t="s">
        <v>1261</v>
      </c>
      <c r="B43" s="1">
        <v>46291</v>
      </c>
      <c r="C43" t="s">
        <v>499</v>
      </c>
      <c r="D43" t="s">
        <v>152</v>
      </c>
      <c r="E43" t="s">
        <v>153</v>
      </c>
      <c r="F43" t="s">
        <v>20</v>
      </c>
      <c r="G43" t="s">
        <v>42</v>
      </c>
      <c r="H43" t="s">
        <v>43</v>
      </c>
      <c r="I43" t="s">
        <v>44</v>
      </c>
      <c r="J43" s="2">
        <v>36125</v>
      </c>
      <c r="K43">
        <v>5</v>
      </c>
      <c r="L43" s="2">
        <v>0.15</v>
      </c>
      <c r="M43" s="2">
        <v>9118.34</v>
      </c>
      <c r="N43" t="s">
        <v>114</v>
      </c>
      <c r="O43" t="s">
        <v>71</v>
      </c>
      <c r="P43" t="s">
        <v>55</v>
      </c>
    </row>
    <row r="44" spans="1:16" x14ac:dyDescent="0.3">
      <c r="A44" t="s">
        <v>493</v>
      </c>
      <c r="B44" s="1">
        <v>45825</v>
      </c>
      <c r="C44" t="s">
        <v>125</v>
      </c>
      <c r="D44" t="s">
        <v>68</v>
      </c>
      <c r="E44" t="s">
        <v>69</v>
      </c>
      <c r="F44" t="s">
        <v>41</v>
      </c>
      <c r="G44" t="s">
        <v>42</v>
      </c>
      <c r="H44" t="s">
        <v>53</v>
      </c>
      <c r="I44" t="s">
        <v>54</v>
      </c>
      <c r="J44" s="2">
        <v>6120</v>
      </c>
      <c r="K44">
        <v>4</v>
      </c>
      <c r="L44" s="2">
        <v>0.15</v>
      </c>
      <c r="M44" s="2">
        <v>1430.89</v>
      </c>
      <c r="N44" t="s">
        <v>35</v>
      </c>
      <c r="O44" t="s">
        <v>108</v>
      </c>
      <c r="P44" t="s">
        <v>47</v>
      </c>
    </row>
    <row r="45" spans="1:16" x14ac:dyDescent="0.3">
      <c r="A45" t="s">
        <v>1298</v>
      </c>
      <c r="B45" s="1">
        <v>46314</v>
      </c>
      <c r="C45" t="s">
        <v>186</v>
      </c>
      <c r="D45" t="s">
        <v>104</v>
      </c>
      <c r="E45" t="s">
        <v>83</v>
      </c>
      <c r="F45" t="s">
        <v>52</v>
      </c>
      <c r="G45" t="s">
        <v>21</v>
      </c>
      <c r="H45" t="s">
        <v>22</v>
      </c>
      <c r="I45" t="s">
        <v>111</v>
      </c>
      <c r="J45" s="2">
        <v>810</v>
      </c>
      <c r="K45">
        <v>3</v>
      </c>
      <c r="L45" s="2">
        <v>0.1</v>
      </c>
      <c r="M45" s="2">
        <v>193.45</v>
      </c>
      <c r="N45" t="s">
        <v>114</v>
      </c>
      <c r="O45" t="s">
        <v>65</v>
      </c>
      <c r="P45" t="s">
        <v>47</v>
      </c>
    </row>
    <row r="46" spans="1:16" x14ac:dyDescent="0.3">
      <c r="A46" t="s">
        <v>181</v>
      </c>
      <c r="B46" s="1">
        <v>45696</v>
      </c>
      <c r="C46" t="s">
        <v>182</v>
      </c>
      <c r="D46" t="s">
        <v>68</v>
      </c>
      <c r="E46" t="s">
        <v>69</v>
      </c>
      <c r="F46" t="s">
        <v>41</v>
      </c>
      <c r="G46" t="s">
        <v>61</v>
      </c>
      <c r="H46" t="s">
        <v>62</v>
      </c>
      <c r="I46" t="s">
        <v>63</v>
      </c>
      <c r="J46" s="2">
        <v>3240</v>
      </c>
      <c r="K46">
        <v>4</v>
      </c>
      <c r="L46" s="2">
        <v>0.1</v>
      </c>
      <c r="M46" s="2">
        <v>488.53</v>
      </c>
      <c r="N46" t="s">
        <v>114</v>
      </c>
      <c r="O46" t="s">
        <v>71</v>
      </c>
      <c r="P46" t="s">
        <v>47</v>
      </c>
    </row>
    <row r="47" spans="1:16" x14ac:dyDescent="0.3">
      <c r="A47" t="s">
        <v>813</v>
      </c>
      <c r="B47" s="1">
        <v>46005</v>
      </c>
      <c r="C47" t="s">
        <v>642</v>
      </c>
      <c r="D47" t="s">
        <v>58</v>
      </c>
      <c r="E47" t="s">
        <v>59</v>
      </c>
      <c r="F47" t="s">
        <v>60</v>
      </c>
      <c r="G47" t="s">
        <v>42</v>
      </c>
      <c r="H47" t="s">
        <v>279</v>
      </c>
      <c r="I47" t="s">
        <v>280</v>
      </c>
      <c r="J47" s="2">
        <v>53125</v>
      </c>
      <c r="K47">
        <v>5</v>
      </c>
      <c r="L47" s="2">
        <v>0.15</v>
      </c>
      <c r="M47" s="2">
        <v>11216.11</v>
      </c>
      <c r="N47" t="s">
        <v>64</v>
      </c>
      <c r="O47" t="s">
        <v>79</v>
      </c>
      <c r="P47" t="s">
        <v>26</v>
      </c>
    </row>
    <row r="48" spans="1:16" x14ac:dyDescent="0.3">
      <c r="A48" t="s">
        <v>546</v>
      </c>
      <c r="B48" s="1">
        <v>45860</v>
      </c>
      <c r="C48" t="s">
        <v>127</v>
      </c>
      <c r="D48" t="s">
        <v>82</v>
      </c>
      <c r="E48" t="s">
        <v>83</v>
      </c>
      <c r="F48" t="s">
        <v>52</v>
      </c>
      <c r="G48" t="s">
        <v>42</v>
      </c>
      <c r="H48" t="s">
        <v>53</v>
      </c>
      <c r="I48" t="s">
        <v>120</v>
      </c>
      <c r="J48" s="2">
        <v>21000</v>
      </c>
      <c r="K48">
        <v>5</v>
      </c>
      <c r="L48" s="2">
        <v>0</v>
      </c>
      <c r="M48" s="2">
        <v>5422.8</v>
      </c>
      <c r="N48" t="s">
        <v>45</v>
      </c>
      <c r="O48" t="s">
        <v>135</v>
      </c>
      <c r="P48" t="s">
        <v>26</v>
      </c>
    </row>
    <row r="49" spans="1:16" x14ac:dyDescent="0.3">
      <c r="A49" t="s">
        <v>663</v>
      </c>
      <c r="B49" s="1">
        <v>45916</v>
      </c>
      <c r="C49" t="s">
        <v>231</v>
      </c>
      <c r="D49" t="s">
        <v>166</v>
      </c>
      <c r="E49" t="s">
        <v>75</v>
      </c>
      <c r="F49" t="s">
        <v>20</v>
      </c>
      <c r="G49" t="s">
        <v>61</v>
      </c>
      <c r="H49" t="s">
        <v>128</v>
      </c>
      <c r="I49" t="s">
        <v>129</v>
      </c>
      <c r="J49" s="2">
        <v>296400</v>
      </c>
      <c r="K49">
        <v>6</v>
      </c>
      <c r="L49" s="2">
        <v>0.05</v>
      </c>
      <c r="M49" s="2">
        <v>80971.039999999994</v>
      </c>
      <c r="N49" t="s">
        <v>64</v>
      </c>
      <c r="O49" t="s">
        <v>108</v>
      </c>
      <c r="P49" t="s">
        <v>47</v>
      </c>
    </row>
    <row r="50" spans="1:16" x14ac:dyDescent="0.3">
      <c r="A50" t="s">
        <v>508</v>
      </c>
      <c r="B50" s="1">
        <v>45835</v>
      </c>
      <c r="C50" t="s">
        <v>338</v>
      </c>
      <c r="D50" t="s">
        <v>68</v>
      </c>
      <c r="E50" t="s">
        <v>69</v>
      </c>
      <c r="F50" t="s">
        <v>41</v>
      </c>
      <c r="G50" t="s">
        <v>61</v>
      </c>
      <c r="H50" t="s">
        <v>62</v>
      </c>
      <c r="I50" t="s">
        <v>63</v>
      </c>
      <c r="J50" s="2">
        <v>1800</v>
      </c>
      <c r="K50">
        <v>2</v>
      </c>
      <c r="L50" s="2">
        <v>0</v>
      </c>
      <c r="M50" s="2">
        <v>310.93</v>
      </c>
      <c r="N50" t="s">
        <v>24</v>
      </c>
      <c r="O50" t="s">
        <v>79</v>
      </c>
      <c r="P50" t="s">
        <v>55</v>
      </c>
    </row>
    <row r="51" spans="1:16" x14ac:dyDescent="0.3">
      <c r="A51" t="s">
        <v>1140</v>
      </c>
      <c r="B51" s="1">
        <v>46204</v>
      </c>
      <c r="C51" t="s">
        <v>188</v>
      </c>
      <c r="D51" t="s">
        <v>119</v>
      </c>
      <c r="E51" t="s">
        <v>75</v>
      </c>
      <c r="F51" t="s">
        <v>20</v>
      </c>
      <c r="G51" t="s">
        <v>32</v>
      </c>
      <c r="H51" t="s">
        <v>84</v>
      </c>
      <c r="I51" t="s">
        <v>140</v>
      </c>
      <c r="J51" s="2">
        <v>27000</v>
      </c>
      <c r="K51">
        <v>4</v>
      </c>
      <c r="L51" s="2">
        <v>0.1</v>
      </c>
      <c r="M51" s="2">
        <v>3452.21</v>
      </c>
      <c r="N51" t="s">
        <v>45</v>
      </c>
      <c r="O51" t="s">
        <v>105</v>
      </c>
      <c r="P51" t="s">
        <v>55</v>
      </c>
    </row>
    <row r="52" spans="1:16" x14ac:dyDescent="0.3">
      <c r="A52" t="s">
        <v>855</v>
      </c>
      <c r="B52" s="1">
        <v>46031</v>
      </c>
      <c r="C52" t="s">
        <v>457</v>
      </c>
      <c r="D52" t="s">
        <v>91</v>
      </c>
      <c r="E52" t="s">
        <v>91</v>
      </c>
      <c r="F52" t="s">
        <v>60</v>
      </c>
      <c r="G52" t="s">
        <v>32</v>
      </c>
      <c r="H52" t="s">
        <v>84</v>
      </c>
      <c r="I52" t="s">
        <v>85</v>
      </c>
      <c r="J52" s="2">
        <v>63750</v>
      </c>
      <c r="K52">
        <v>6</v>
      </c>
      <c r="L52" s="2">
        <v>0.15</v>
      </c>
      <c r="M52" s="2">
        <v>5173.2</v>
      </c>
      <c r="N52" t="s">
        <v>64</v>
      </c>
      <c r="O52" t="s">
        <v>105</v>
      </c>
      <c r="P52" t="s">
        <v>47</v>
      </c>
    </row>
    <row r="53" spans="1:16" x14ac:dyDescent="0.3">
      <c r="A53" t="s">
        <v>1091</v>
      </c>
      <c r="B53" s="1">
        <v>46168</v>
      </c>
      <c r="C53" t="s">
        <v>537</v>
      </c>
      <c r="D53" t="s">
        <v>96</v>
      </c>
      <c r="E53" t="s">
        <v>97</v>
      </c>
      <c r="F53" t="s">
        <v>20</v>
      </c>
      <c r="G53" t="s">
        <v>32</v>
      </c>
      <c r="H53" t="s">
        <v>33</v>
      </c>
      <c r="I53" t="s">
        <v>34</v>
      </c>
      <c r="J53" s="2">
        <v>16740</v>
      </c>
      <c r="K53">
        <v>3</v>
      </c>
      <c r="L53" s="2">
        <v>0.1</v>
      </c>
      <c r="M53" s="2">
        <v>1461.97</v>
      </c>
      <c r="N53" t="s">
        <v>24</v>
      </c>
      <c r="O53" t="s">
        <v>25</v>
      </c>
      <c r="P53" t="s">
        <v>26</v>
      </c>
    </row>
    <row r="54" spans="1:16" x14ac:dyDescent="0.3">
      <c r="A54" t="s">
        <v>300</v>
      </c>
      <c r="B54" s="1">
        <v>45740</v>
      </c>
      <c r="C54" t="s">
        <v>301</v>
      </c>
      <c r="D54" t="s">
        <v>96</v>
      </c>
      <c r="E54" t="s">
        <v>97</v>
      </c>
      <c r="F54" t="s">
        <v>20</v>
      </c>
      <c r="G54" t="s">
        <v>42</v>
      </c>
      <c r="H54" t="s">
        <v>43</v>
      </c>
      <c r="I54" t="s">
        <v>44</v>
      </c>
      <c r="J54" s="2">
        <v>38250</v>
      </c>
      <c r="K54">
        <v>5</v>
      </c>
      <c r="L54" s="2">
        <v>0.1</v>
      </c>
      <c r="M54" s="2">
        <v>8133.99</v>
      </c>
      <c r="N54" t="s">
        <v>64</v>
      </c>
      <c r="O54" t="s">
        <v>25</v>
      </c>
      <c r="P54" t="s">
        <v>55</v>
      </c>
    </row>
    <row r="55" spans="1:16" x14ac:dyDescent="0.3">
      <c r="A55" t="s">
        <v>258</v>
      </c>
      <c r="B55" s="1">
        <v>45729</v>
      </c>
      <c r="C55" t="s">
        <v>81</v>
      </c>
      <c r="D55" t="s">
        <v>39</v>
      </c>
      <c r="E55" t="s">
        <v>40</v>
      </c>
      <c r="F55" t="s">
        <v>41</v>
      </c>
      <c r="G55" t="s">
        <v>21</v>
      </c>
      <c r="H55" t="s">
        <v>22</v>
      </c>
      <c r="I55" t="s">
        <v>111</v>
      </c>
      <c r="J55" s="2">
        <v>270</v>
      </c>
      <c r="K55">
        <v>1</v>
      </c>
      <c r="L55" s="2">
        <v>0.1</v>
      </c>
      <c r="M55" s="2">
        <v>52.66</v>
      </c>
      <c r="N55" t="s">
        <v>35</v>
      </c>
      <c r="O55" t="s">
        <v>71</v>
      </c>
      <c r="P55" t="s">
        <v>47</v>
      </c>
    </row>
    <row r="56" spans="1:16" x14ac:dyDescent="0.3">
      <c r="A56" t="s">
        <v>903</v>
      </c>
      <c r="B56" s="1">
        <v>46058</v>
      </c>
      <c r="C56" t="s">
        <v>377</v>
      </c>
      <c r="D56" t="s">
        <v>82</v>
      </c>
      <c r="E56" t="s">
        <v>83</v>
      </c>
      <c r="F56" t="s">
        <v>52</v>
      </c>
      <c r="G56" t="s">
        <v>42</v>
      </c>
      <c r="H56" t="s">
        <v>53</v>
      </c>
      <c r="I56" t="s">
        <v>54</v>
      </c>
      <c r="J56" s="2">
        <v>6120</v>
      </c>
      <c r="K56">
        <v>4</v>
      </c>
      <c r="L56" s="2">
        <v>0.15</v>
      </c>
      <c r="M56" s="2">
        <v>1620.38</v>
      </c>
      <c r="N56" t="s">
        <v>114</v>
      </c>
      <c r="O56" t="s">
        <v>105</v>
      </c>
      <c r="P56" t="s">
        <v>47</v>
      </c>
    </row>
    <row r="57" spans="1:16" x14ac:dyDescent="0.3">
      <c r="A57" t="s">
        <v>788</v>
      </c>
      <c r="B57" s="1">
        <v>45992</v>
      </c>
      <c r="C57" t="s">
        <v>263</v>
      </c>
      <c r="D57" t="s">
        <v>166</v>
      </c>
      <c r="E57" t="s">
        <v>75</v>
      </c>
      <c r="F57" t="s">
        <v>20</v>
      </c>
      <c r="G57" t="s">
        <v>42</v>
      </c>
      <c r="H57" t="s">
        <v>43</v>
      </c>
      <c r="I57" t="s">
        <v>44</v>
      </c>
      <c r="J57" s="2">
        <v>45900</v>
      </c>
      <c r="K57">
        <v>6</v>
      </c>
      <c r="L57" s="2">
        <v>0.1</v>
      </c>
      <c r="M57" s="2">
        <v>12164.04</v>
      </c>
      <c r="N57" t="s">
        <v>35</v>
      </c>
      <c r="O57" t="s">
        <v>65</v>
      </c>
      <c r="P57" t="s">
        <v>26</v>
      </c>
    </row>
    <row r="58" spans="1:16" x14ac:dyDescent="0.3">
      <c r="A58" t="s">
        <v>438</v>
      </c>
      <c r="B58" s="1">
        <v>45795</v>
      </c>
      <c r="C58" t="s">
        <v>439</v>
      </c>
      <c r="D58" t="s">
        <v>82</v>
      </c>
      <c r="E58" t="s">
        <v>83</v>
      </c>
      <c r="F58" t="s">
        <v>52</v>
      </c>
      <c r="G58" t="s">
        <v>21</v>
      </c>
      <c r="H58" t="s">
        <v>179</v>
      </c>
      <c r="I58" t="s">
        <v>180</v>
      </c>
      <c r="J58" s="2">
        <v>9120</v>
      </c>
      <c r="K58">
        <v>4</v>
      </c>
      <c r="L58" s="2">
        <v>0.05</v>
      </c>
      <c r="M58" s="2">
        <v>1630.04</v>
      </c>
      <c r="N58" t="s">
        <v>64</v>
      </c>
      <c r="O58" t="s">
        <v>65</v>
      </c>
      <c r="P58" t="s">
        <v>26</v>
      </c>
    </row>
    <row r="59" spans="1:16" x14ac:dyDescent="0.3">
      <c r="A59" t="s">
        <v>376</v>
      </c>
      <c r="B59" s="1">
        <v>45768</v>
      </c>
      <c r="C59" t="s">
        <v>377</v>
      </c>
      <c r="D59" t="s">
        <v>166</v>
      </c>
      <c r="E59" t="s">
        <v>75</v>
      </c>
      <c r="F59" t="s">
        <v>20</v>
      </c>
      <c r="G59" t="s">
        <v>21</v>
      </c>
      <c r="H59" t="s">
        <v>22</v>
      </c>
      <c r="I59" t="s">
        <v>111</v>
      </c>
      <c r="J59" s="2">
        <v>1425</v>
      </c>
      <c r="K59">
        <v>5</v>
      </c>
      <c r="L59" s="2">
        <v>0.05</v>
      </c>
      <c r="M59" s="2">
        <v>273.2</v>
      </c>
      <c r="N59" t="s">
        <v>45</v>
      </c>
      <c r="O59" t="s">
        <v>79</v>
      </c>
      <c r="P59" t="s">
        <v>26</v>
      </c>
    </row>
    <row r="60" spans="1:16" x14ac:dyDescent="0.3">
      <c r="A60" t="s">
        <v>72</v>
      </c>
      <c r="B60" s="1">
        <v>45662</v>
      </c>
      <c r="C60" t="s">
        <v>73</v>
      </c>
      <c r="D60" t="s">
        <v>74</v>
      </c>
      <c r="E60" t="s">
        <v>75</v>
      </c>
      <c r="F60" t="s">
        <v>20</v>
      </c>
      <c r="G60" t="s">
        <v>76</v>
      </c>
      <c r="H60" t="s">
        <v>77</v>
      </c>
      <c r="I60" t="s">
        <v>78</v>
      </c>
      <c r="J60" s="2">
        <v>9600</v>
      </c>
      <c r="K60">
        <v>5</v>
      </c>
      <c r="L60" s="2">
        <v>0.2</v>
      </c>
      <c r="M60" s="2">
        <v>1784.74</v>
      </c>
      <c r="N60" t="s">
        <v>35</v>
      </c>
      <c r="O60" t="s">
        <v>79</v>
      </c>
      <c r="P60" t="s">
        <v>26</v>
      </c>
    </row>
    <row r="61" spans="1:16" x14ac:dyDescent="0.3">
      <c r="A61" t="s">
        <v>259</v>
      </c>
      <c r="B61" s="1">
        <v>45730</v>
      </c>
      <c r="C61" t="s">
        <v>260</v>
      </c>
      <c r="D61" t="s">
        <v>82</v>
      </c>
      <c r="E61" t="s">
        <v>83</v>
      </c>
      <c r="F61" t="s">
        <v>52</v>
      </c>
      <c r="G61" t="s">
        <v>61</v>
      </c>
      <c r="H61" t="s">
        <v>128</v>
      </c>
      <c r="I61" t="s">
        <v>129</v>
      </c>
      <c r="J61" s="2">
        <v>197600</v>
      </c>
      <c r="K61">
        <v>4</v>
      </c>
      <c r="L61" s="2">
        <v>0.05</v>
      </c>
      <c r="M61" s="2">
        <v>29212.57</v>
      </c>
      <c r="N61" t="s">
        <v>45</v>
      </c>
      <c r="O61" t="s">
        <v>25</v>
      </c>
      <c r="P61" t="s">
        <v>47</v>
      </c>
    </row>
    <row r="62" spans="1:16" x14ac:dyDescent="0.3">
      <c r="A62" t="s">
        <v>1385</v>
      </c>
      <c r="B62" s="1">
        <v>46383</v>
      </c>
      <c r="C62" t="s">
        <v>634</v>
      </c>
      <c r="D62" t="s">
        <v>134</v>
      </c>
      <c r="E62" t="s">
        <v>75</v>
      </c>
      <c r="F62" t="s">
        <v>20</v>
      </c>
      <c r="G62" t="s">
        <v>42</v>
      </c>
      <c r="H62" t="s">
        <v>53</v>
      </c>
      <c r="I62" t="s">
        <v>120</v>
      </c>
      <c r="J62" s="2">
        <v>12600</v>
      </c>
      <c r="K62">
        <v>3</v>
      </c>
      <c r="L62" s="2">
        <v>0</v>
      </c>
      <c r="M62" s="2">
        <v>1535.56</v>
      </c>
      <c r="N62" t="s">
        <v>24</v>
      </c>
      <c r="O62" t="s">
        <v>46</v>
      </c>
      <c r="P62" t="s">
        <v>47</v>
      </c>
    </row>
    <row r="63" spans="1:16" x14ac:dyDescent="0.3">
      <c r="A63" t="s">
        <v>831</v>
      </c>
      <c r="B63" s="1">
        <v>46020</v>
      </c>
      <c r="C63" t="s">
        <v>116</v>
      </c>
      <c r="D63" t="s">
        <v>18</v>
      </c>
      <c r="E63" t="s">
        <v>19</v>
      </c>
      <c r="F63" t="s">
        <v>20</v>
      </c>
      <c r="G63" t="s">
        <v>42</v>
      </c>
      <c r="H63" t="s">
        <v>53</v>
      </c>
      <c r="I63" t="s">
        <v>54</v>
      </c>
      <c r="J63" s="2">
        <v>10800</v>
      </c>
      <c r="K63">
        <v>6</v>
      </c>
      <c r="L63" s="2">
        <v>0</v>
      </c>
      <c r="M63" s="2">
        <v>1151.53</v>
      </c>
      <c r="N63" t="s">
        <v>114</v>
      </c>
      <c r="O63" t="s">
        <v>71</v>
      </c>
      <c r="P63" t="s">
        <v>47</v>
      </c>
    </row>
    <row r="64" spans="1:16" x14ac:dyDescent="0.3">
      <c r="A64" t="s">
        <v>690</v>
      </c>
      <c r="B64" s="1">
        <v>45930</v>
      </c>
      <c r="C64" t="s">
        <v>199</v>
      </c>
      <c r="D64" t="s">
        <v>82</v>
      </c>
      <c r="E64" t="s">
        <v>83</v>
      </c>
      <c r="F64" t="s">
        <v>52</v>
      </c>
      <c r="G64" t="s">
        <v>21</v>
      </c>
      <c r="H64" t="s">
        <v>179</v>
      </c>
      <c r="I64" t="s">
        <v>180</v>
      </c>
      <c r="J64" s="2">
        <v>2160</v>
      </c>
      <c r="K64">
        <v>1</v>
      </c>
      <c r="L64" s="2">
        <v>0.1</v>
      </c>
      <c r="M64" s="2">
        <v>228.56</v>
      </c>
      <c r="N64" t="s">
        <v>35</v>
      </c>
      <c r="O64" t="s">
        <v>36</v>
      </c>
      <c r="P64" t="s">
        <v>26</v>
      </c>
    </row>
    <row r="65" spans="1:16" x14ac:dyDescent="0.3">
      <c r="A65" t="s">
        <v>371</v>
      </c>
      <c r="B65" s="1">
        <v>45768</v>
      </c>
      <c r="C65" t="s">
        <v>372</v>
      </c>
      <c r="D65" t="s">
        <v>39</v>
      </c>
      <c r="E65" t="s">
        <v>40</v>
      </c>
      <c r="F65" t="s">
        <v>41</v>
      </c>
      <c r="G65" t="s">
        <v>21</v>
      </c>
      <c r="H65" t="s">
        <v>175</v>
      </c>
      <c r="I65" t="s">
        <v>176</v>
      </c>
      <c r="J65" s="2">
        <v>1105</v>
      </c>
      <c r="K65">
        <v>2</v>
      </c>
      <c r="L65" s="2">
        <v>0.15</v>
      </c>
      <c r="M65" s="2">
        <v>188.83</v>
      </c>
      <c r="N65" t="s">
        <v>64</v>
      </c>
      <c r="O65" t="s">
        <v>135</v>
      </c>
      <c r="P65" t="s">
        <v>47</v>
      </c>
    </row>
    <row r="66" spans="1:16" x14ac:dyDescent="0.3">
      <c r="A66" t="s">
        <v>861</v>
      </c>
      <c r="B66" s="1">
        <v>46034</v>
      </c>
      <c r="C66" t="s">
        <v>537</v>
      </c>
      <c r="D66" t="s">
        <v>91</v>
      </c>
      <c r="E66" t="s">
        <v>91</v>
      </c>
      <c r="F66" t="s">
        <v>60</v>
      </c>
      <c r="G66" t="s">
        <v>32</v>
      </c>
      <c r="H66" t="s">
        <v>84</v>
      </c>
      <c r="I66" t="s">
        <v>85</v>
      </c>
      <c r="J66" s="2">
        <v>22500</v>
      </c>
      <c r="K66">
        <v>2</v>
      </c>
      <c r="L66" s="2">
        <v>0.1</v>
      </c>
      <c r="M66" s="2">
        <v>2674.98</v>
      </c>
      <c r="N66" t="s">
        <v>114</v>
      </c>
      <c r="O66" t="s">
        <v>79</v>
      </c>
      <c r="P66" t="s">
        <v>47</v>
      </c>
    </row>
    <row r="67" spans="1:16" x14ac:dyDescent="0.3">
      <c r="A67" t="s">
        <v>434</v>
      </c>
      <c r="B67" s="1">
        <v>45794</v>
      </c>
      <c r="C67" t="s">
        <v>435</v>
      </c>
      <c r="D67" t="s">
        <v>152</v>
      </c>
      <c r="E67" t="s">
        <v>153</v>
      </c>
      <c r="F67" t="s">
        <v>20</v>
      </c>
      <c r="G67" t="s">
        <v>21</v>
      </c>
      <c r="H67" t="s">
        <v>22</v>
      </c>
      <c r="I67" t="s">
        <v>111</v>
      </c>
      <c r="J67" s="2">
        <v>900</v>
      </c>
      <c r="K67">
        <v>3</v>
      </c>
      <c r="L67" s="2">
        <v>0</v>
      </c>
      <c r="M67" s="2">
        <v>217.06</v>
      </c>
      <c r="N67" t="s">
        <v>114</v>
      </c>
      <c r="O67" t="s">
        <v>65</v>
      </c>
      <c r="P67" t="s">
        <v>55</v>
      </c>
    </row>
    <row r="68" spans="1:16" x14ac:dyDescent="0.3">
      <c r="A68" t="s">
        <v>1084</v>
      </c>
      <c r="B68" s="1">
        <v>46161</v>
      </c>
      <c r="C68" t="s">
        <v>404</v>
      </c>
      <c r="D68" t="s">
        <v>82</v>
      </c>
      <c r="E68" t="s">
        <v>83</v>
      </c>
      <c r="F68" t="s">
        <v>52</v>
      </c>
      <c r="G68" t="s">
        <v>32</v>
      </c>
      <c r="H68" t="s">
        <v>84</v>
      </c>
      <c r="I68" t="s">
        <v>85</v>
      </c>
      <c r="J68" s="2">
        <v>31875</v>
      </c>
      <c r="K68">
        <v>3</v>
      </c>
      <c r="L68" s="2">
        <v>0.15</v>
      </c>
      <c r="M68" s="2">
        <v>7396.46</v>
      </c>
      <c r="N68" t="s">
        <v>64</v>
      </c>
      <c r="O68" t="s">
        <v>71</v>
      </c>
      <c r="P68" t="s">
        <v>55</v>
      </c>
    </row>
    <row r="69" spans="1:16" x14ac:dyDescent="0.3">
      <c r="A69" t="s">
        <v>1383</v>
      </c>
      <c r="B69" s="1">
        <v>46381</v>
      </c>
      <c r="C69" t="s">
        <v>164</v>
      </c>
      <c r="D69" t="s">
        <v>50</v>
      </c>
      <c r="E69" t="s">
        <v>51</v>
      </c>
      <c r="F69" t="s">
        <v>52</v>
      </c>
      <c r="G69" t="s">
        <v>21</v>
      </c>
      <c r="H69" t="s">
        <v>179</v>
      </c>
      <c r="I69" t="s">
        <v>180</v>
      </c>
      <c r="J69" s="2">
        <v>10200</v>
      </c>
      <c r="K69">
        <v>5</v>
      </c>
      <c r="L69" s="2">
        <v>0.15</v>
      </c>
      <c r="M69" s="2">
        <v>1071.55</v>
      </c>
      <c r="N69" t="s">
        <v>64</v>
      </c>
      <c r="O69" t="s">
        <v>25</v>
      </c>
      <c r="P69" t="s">
        <v>47</v>
      </c>
    </row>
    <row r="70" spans="1:16" x14ac:dyDescent="0.3">
      <c r="A70" t="s">
        <v>1323</v>
      </c>
      <c r="B70" s="1">
        <v>46330</v>
      </c>
      <c r="C70" t="s">
        <v>188</v>
      </c>
      <c r="D70" t="s">
        <v>173</v>
      </c>
      <c r="E70" t="s">
        <v>174</v>
      </c>
      <c r="F70" t="s">
        <v>60</v>
      </c>
      <c r="G70" t="s">
        <v>32</v>
      </c>
      <c r="H70" t="s">
        <v>84</v>
      </c>
      <c r="I70" t="s">
        <v>140</v>
      </c>
      <c r="J70" s="2">
        <v>45000</v>
      </c>
      <c r="K70">
        <v>6</v>
      </c>
      <c r="L70" s="2">
        <v>0</v>
      </c>
      <c r="M70" s="2">
        <v>7930.26</v>
      </c>
      <c r="N70" t="s">
        <v>35</v>
      </c>
      <c r="O70" t="s">
        <v>105</v>
      </c>
      <c r="P70" t="s">
        <v>55</v>
      </c>
    </row>
    <row r="71" spans="1:16" x14ac:dyDescent="0.3">
      <c r="A71" t="s">
        <v>1148</v>
      </c>
      <c r="B71" s="1">
        <v>46207</v>
      </c>
      <c r="C71" t="s">
        <v>937</v>
      </c>
      <c r="D71" t="s">
        <v>58</v>
      </c>
      <c r="E71" t="s">
        <v>59</v>
      </c>
      <c r="F71" t="s">
        <v>60</v>
      </c>
      <c r="G71" t="s">
        <v>76</v>
      </c>
      <c r="H71" t="s">
        <v>77</v>
      </c>
      <c r="I71" t="s">
        <v>171</v>
      </c>
      <c r="J71" s="2">
        <v>3200</v>
      </c>
      <c r="K71">
        <v>2</v>
      </c>
      <c r="L71" s="2">
        <v>0</v>
      </c>
      <c r="M71" s="2">
        <v>344.85</v>
      </c>
      <c r="N71" t="s">
        <v>64</v>
      </c>
      <c r="O71" t="s">
        <v>105</v>
      </c>
      <c r="P71" t="s">
        <v>47</v>
      </c>
    </row>
    <row r="72" spans="1:16" x14ac:dyDescent="0.3">
      <c r="A72" t="s">
        <v>1141</v>
      </c>
      <c r="B72" s="1">
        <v>46204</v>
      </c>
      <c r="C72" t="s">
        <v>137</v>
      </c>
      <c r="D72" t="s">
        <v>68</v>
      </c>
      <c r="E72" t="s">
        <v>69</v>
      </c>
      <c r="F72" t="s">
        <v>41</v>
      </c>
      <c r="G72" t="s">
        <v>76</v>
      </c>
      <c r="H72" t="s">
        <v>122</v>
      </c>
      <c r="I72" t="s">
        <v>217</v>
      </c>
      <c r="J72" s="2">
        <v>8100</v>
      </c>
      <c r="K72">
        <v>5</v>
      </c>
      <c r="L72" s="2">
        <v>0.1</v>
      </c>
      <c r="M72" s="2">
        <v>2112.9299999999998</v>
      </c>
      <c r="N72" t="s">
        <v>24</v>
      </c>
      <c r="O72" t="s">
        <v>86</v>
      </c>
      <c r="P72" t="s">
        <v>55</v>
      </c>
    </row>
    <row r="73" spans="1:16" x14ac:dyDescent="0.3">
      <c r="A73" t="s">
        <v>277</v>
      </c>
      <c r="B73" s="1">
        <v>45735</v>
      </c>
      <c r="C73" t="s">
        <v>278</v>
      </c>
      <c r="D73" t="s">
        <v>91</v>
      </c>
      <c r="E73" t="s">
        <v>91</v>
      </c>
      <c r="F73" t="s">
        <v>60</v>
      </c>
      <c r="G73" t="s">
        <v>42</v>
      </c>
      <c r="H73" t="s">
        <v>279</v>
      </c>
      <c r="I73" t="s">
        <v>280</v>
      </c>
      <c r="J73" s="2">
        <v>63750</v>
      </c>
      <c r="K73">
        <v>6</v>
      </c>
      <c r="L73" s="2">
        <v>0.15</v>
      </c>
      <c r="M73" s="2">
        <v>6773.16</v>
      </c>
      <c r="N73" t="s">
        <v>114</v>
      </c>
      <c r="O73" t="s">
        <v>108</v>
      </c>
      <c r="P73" t="s">
        <v>26</v>
      </c>
    </row>
    <row r="74" spans="1:16" x14ac:dyDescent="0.3">
      <c r="A74" t="s">
        <v>1185</v>
      </c>
      <c r="B74" s="1">
        <v>46232</v>
      </c>
      <c r="C74" t="s">
        <v>244</v>
      </c>
      <c r="D74" t="s">
        <v>166</v>
      </c>
      <c r="E74" t="s">
        <v>75</v>
      </c>
      <c r="F74" t="s">
        <v>20</v>
      </c>
      <c r="G74" t="s">
        <v>42</v>
      </c>
      <c r="H74" t="s">
        <v>43</v>
      </c>
      <c r="I74" t="s">
        <v>44</v>
      </c>
      <c r="J74" s="2">
        <v>43350</v>
      </c>
      <c r="K74">
        <v>6</v>
      </c>
      <c r="L74" s="2">
        <v>0.15</v>
      </c>
      <c r="M74" s="2">
        <v>8202.84</v>
      </c>
      <c r="N74" t="s">
        <v>64</v>
      </c>
      <c r="O74" t="s">
        <v>25</v>
      </c>
      <c r="P74" t="s">
        <v>26</v>
      </c>
    </row>
    <row r="75" spans="1:16" x14ac:dyDescent="0.3">
      <c r="A75" t="s">
        <v>1281</v>
      </c>
      <c r="B75" s="1">
        <v>46303</v>
      </c>
      <c r="C75" t="s">
        <v>393</v>
      </c>
      <c r="D75" t="s">
        <v>96</v>
      </c>
      <c r="E75" t="s">
        <v>97</v>
      </c>
      <c r="F75" t="s">
        <v>20</v>
      </c>
      <c r="G75" t="s">
        <v>32</v>
      </c>
      <c r="H75" t="s">
        <v>92</v>
      </c>
      <c r="I75" t="s">
        <v>93</v>
      </c>
      <c r="J75" s="2">
        <v>48875</v>
      </c>
      <c r="K75">
        <v>5</v>
      </c>
      <c r="L75" s="2">
        <v>0.15</v>
      </c>
      <c r="M75" s="2">
        <v>9559.66</v>
      </c>
      <c r="N75" t="s">
        <v>45</v>
      </c>
      <c r="O75" t="s">
        <v>86</v>
      </c>
      <c r="P75" t="s">
        <v>47</v>
      </c>
    </row>
    <row r="76" spans="1:16" x14ac:dyDescent="0.3">
      <c r="A76" t="s">
        <v>1147</v>
      </c>
      <c r="B76" s="1">
        <v>46207</v>
      </c>
      <c r="C76" t="s">
        <v>340</v>
      </c>
      <c r="D76" t="s">
        <v>29</v>
      </c>
      <c r="E76" t="s">
        <v>30</v>
      </c>
      <c r="F76" t="s">
        <v>31</v>
      </c>
      <c r="G76" t="s">
        <v>61</v>
      </c>
      <c r="H76" t="s">
        <v>62</v>
      </c>
      <c r="I76" t="s">
        <v>63</v>
      </c>
      <c r="J76" s="2">
        <v>810</v>
      </c>
      <c r="K76">
        <v>1</v>
      </c>
      <c r="L76" s="2">
        <v>0.1</v>
      </c>
      <c r="M76" s="2">
        <v>199.17</v>
      </c>
      <c r="N76" t="s">
        <v>114</v>
      </c>
      <c r="O76" t="s">
        <v>46</v>
      </c>
      <c r="P76" t="s">
        <v>26</v>
      </c>
    </row>
    <row r="77" spans="1:16" x14ac:dyDescent="0.3">
      <c r="A77" t="s">
        <v>485</v>
      </c>
      <c r="B77" s="1">
        <v>45816</v>
      </c>
      <c r="C77" t="s">
        <v>233</v>
      </c>
      <c r="D77" t="s">
        <v>173</v>
      </c>
      <c r="E77" t="s">
        <v>174</v>
      </c>
      <c r="F77" t="s">
        <v>60</v>
      </c>
      <c r="G77" t="s">
        <v>61</v>
      </c>
      <c r="H77" t="s">
        <v>128</v>
      </c>
      <c r="I77" t="s">
        <v>195</v>
      </c>
      <c r="J77" s="2">
        <v>104400</v>
      </c>
      <c r="K77">
        <v>2</v>
      </c>
      <c r="L77" s="2">
        <v>0.1</v>
      </c>
      <c r="M77" s="2">
        <v>23479.34</v>
      </c>
      <c r="N77" t="s">
        <v>114</v>
      </c>
      <c r="O77" t="s">
        <v>86</v>
      </c>
      <c r="P77" t="s">
        <v>55</v>
      </c>
    </row>
    <row r="78" spans="1:16" x14ac:dyDescent="0.3">
      <c r="A78" t="s">
        <v>732</v>
      </c>
      <c r="B78" s="1">
        <v>45949</v>
      </c>
      <c r="C78" t="s">
        <v>305</v>
      </c>
      <c r="D78" t="s">
        <v>39</v>
      </c>
      <c r="E78" t="s">
        <v>40</v>
      </c>
      <c r="F78" t="s">
        <v>41</v>
      </c>
      <c r="G78" t="s">
        <v>21</v>
      </c>
      <c r="H78" t="s">
        <v>22</v>
      </c>
      <c r="I78" t="s">
        <v>23</v>
      </c>
      <c r="J78" s="2">
        <v>1620</v>
      </c>
      <c r="K78">
        <v>4</v>
      </c>
      <c r="L78" s="2">
        <v>0.1</v>
      </c>
      <c r="M78" s="2">
        <v>344.41</v>
      </c>
      <c r="N78" t="s">
        <v>114</v>
      </c>
      <c r="O78" t="s">
        <v>65</v>
      </c>
      <c r="P78" t="s">
        <v>55</v>
      </c>
    </row>
    <row r="79" spans="1:16" x14ac:dyDescent="0.3">
      <c r="A79" t="s">
        <v>894</v>
      </c>
      <c r="B79" s="1">
        <v>46053</v>
      </c>
      <c r="C79" t="s">
        <v>755</v>
      </c>
      <c r="D79" t="s">
        <v>173</v>
      </c>
      <c r="E79" t="s">
        <v>174</v>
      </c>
      <c r="F79" t="s">
        <v>60</v>
      </c>
      <c r="G79" t="s">
        <v>76</v>
      </c>
      <c r="H79" t="s">
        <v>122</v>
      </c>
      <c r="I79" t="s">
        <v>217</v>
      </c>
      <c r="J79" s="2">
        <v>10260</v>
      </c>
      <c r="K79">
        <v>6</v>
      </c>
      <c r="L79" s="2">
        <v>0.05</v>
      </c>
      <c r="M79" s="2">
        <v>1694.59</v>
      </c>
      <c r="N79" t="s">
        <v>35</v>
      </c>
      <c r="O79" t="s">
        <v>36</v>
      </c>
      <c r="P79" t="s">
        <v>26</v>
      </c>
    </row>
    <row r="80" spans="1:16" x14ac:dyDescent="0.3">
      <c r="A80" t="s">
        <v>400</v>
      </c>
      <c r="B80" s="1">
        <v>45784</v>
      </c>
      <c r="C80" t="s">
        <v>387</v>
      </c>
      <c r="D80" t="s">
        <v>96</v>
      </c>
      <c r="E80" t="s">
        <v>97</v>
      </c>
      <c r="F80" t="s">
        <v>20</v>
      </c>
      <c r="G80" t="s">
        <v>42</v>
      </c>
      <c r="H80" t="s">
        <v>43</v>
      </c>
      <c r="I80" t="s">
        <v>44</v>
      </c>
      <c r="J80" s="2">
        <v>34000</v>
      </c>
      <c r="K80">
        <v>4</v>
      </c>
      <c r="L80" s="2">
        <v>0</v>
      </c>
      <c r="M80" s="2">
        <v>8967.5</v>
      </c>
      <c r="N80" t="s">
        <v>24</v>
      </c>
      <c r="O80" t="s">
        <v>108</v>
      </c>
      <c r="P80" t="s">
        <v>26</v>
      </c>
    </row>
    <row r="81" spans="1:16" x14ac:dyDescent="0.3">
      <c r="A81" t="s">
        <v>913</v>
      </c>
      <c r="B81" s="1">
        <v>46062</v>
      </c>
      <c r="C81" t="s">
        <v>914</v>
      </c>
      <c r="D81" t="s">
        <v>82</v>
      </c>
      <c r="E81" t="s">
        <v>83</v>
      </c>
      <c r="F81" t="s">
        <v>52</v>
      </c>
      <c r="G81" t="s">
        <v>61</v>
      </c>
      <c r="H81" t="s">
        <v>62</v>
      </c>
      <c r="I81" t="s">
        <v>70</v>
      </c>
      <c r="J81" s="2">
        <v>1530</v>
      </c>
      <c r="K81">
        <v>1</v>
      </c>
      <c r="L81" s="2">
        <v>0.15</v>
      </c>
      <c r="M81" s="2">
        <v>246.28</v>
      </c>
      <c r="N81" t="s">
        <v>64</v>
      </c>
      <c r="O81" t="s">
        <v>25</v>
      </c>
      <c r="P81" t="s">
        <v>55</v>
      </c>
    </row>
    <row r="82" spans="1:16" x14ac:dyDescent="0.3">
      <c r="A82" t="s">
        <v>757</v>
      </c>
      <c r="B82" s="1">
        <v>45970</v>
      </c>
      <c r="C82" t="s">
        <v>299</v>
      </c>
      <c r="D82" t="s">
        <v>82</v>
      </c>
      <c r="E82" t="s">
        <v>83</v>
      </c>
      <c r="F82" t="s">
        <v>52</v>
      </c>
      <c r="G82" t="s">
        <v>21</v>
      </c>
      <c r="H82" t="s">
        <v>175</v>
      </c>
      <c r="I82" t="s">
        <v>176</v>
      </c>
      <c r="J82" s="2">
        <v>3087.5</v>
      </c>
      <c r="K82">
        <v>5</v>
      </c>
      <c r="L82" s="2">
        <v>0.05</v>
      </c>
      <c r="M82" s="2">
        <v>695.68</v>
      </c>
      <c r="N82" t="s">
        <v>24</v>
      </c>
      <c r="O82" t="s">
        <v>36</v>
      </c>
      <c r="P82" t="s">
        <v>47</v>
      </c>
    </row>
    <row r="83" spans="1:16" x14ac:dyDescent="0.3">
      <c r="A83" t="s">
        <v>510</v>
      </c>
      <c r="B83" s="1">
        <v>45836</v>
      </c>
      <c r="C83" t="s">
        <v>287</v>
      </c>
      <c r="D83" t="s">
        <v>50</v>
      </c>
      <c r="E83" t="s">
        <v>51</v>
      </c>
      <c r="F83" t="s">
        <v>52</v>
      </c>
      <c r="G83" t="s">
        <v>76</v>
      </c>
      <c r="H83" t="s">
        <v>77</v>
      </c>
      <c r="I83" t="s">
        <v>78</v>
      </c>
      <c r="J83" s="2">
        <v>4320</v>
      </c>
      <c r="K83">
        <v>2</v>
      </c>
      <c r="L83" s="2">
        <v>0.1</v>
      </c>
      <c r="M83" s="2">
        <v>1092.18</v>
      </c>
      <c r="N83" t="s">
        <v>114</v>
      </c>
      <c r="O83" t="s">
        <v>86</v>
      </c>
      <c r="P83" t="s">
        <v>26</v>
      </c>
    </row>
    <row r="84" spans="1:16" x14ac:dyDescent="0.3">
      <c r="A84" t="s">
        <v>302</v>
      </c>
      <c r="B84" s="1">
        <v>45741</v>
      </c>
      <c r="C84" t="s">
        <v>303</v>
      </c>
      <c r="D84" t="s">
        <v>119</v>
      </c>
      <c r="E84" t="s">
        <v>75</v>
      </c>
      <c r="F84" t="s">
        <v>20</v>
      </c>
      <c r="G84" t="s">
        <v>42</v>
      </c>
      <c r="H84" t="s">
        <v>43</v>
      </c>
      <c r="I84" t="s">
        <v>44</v>
      </c>
      <c r="J84" s="2">
        <v>48450</v>
      </c>
      <c r="K84">
        <v>6</v>
      </c>
      <c r="L84" s="2">
        <v>0.05</v>
      </c>
      <c r="M84" s="2">
        <v>5690.95</v>
      </c>
      <c r="N84" t="s">
        <v>24</v>
      </c>
      <c r="O84" t="s">
        <v>79</v>
      </c>
      <c r="P84" t="s">
        <v>47</v>
      </c>
    </row>
    <row r="85" spans="1:16" x14ac:dyDescent="0.3">
      <c r="A85" t="s">
        <v>955</v>
      </c>
      <c r="B85" s="1">
        <v>46092</v>
      </c>
      <c r="C85" t="s">
        <v>359</v>
      </c>
      <c r="D85" t="s">
        <v>68</v>
      </c>
      <c r="E85" t="s">
        <v>69</v>
      </c>
      <c r="F85" t="s">
        <v>41</v>
      </c>
      <c r="G85" t="s">
        <v>21</v>
      </c>
      <c r="H85" t="s">
        <v>175</v>
      </c>
      <c r="I85" t="s">
        <v>176</v>
      </c>
      <c r="J85" s="2">
        <v>617.5</v>
      </c>
      <c r="K85">
        <v>1</v>
      </c>
      <c r="L85" s="2">
        <v>0.05</v>
      </c>
      <c r="M85" s="2">
        <v>84.91</v>
      </c>
      <c r="N85" t="s">
        <v>114</v>
      </c>
      <c r="O85" t="s">
        <v>25</v>
      </c>
      <c r="P85" t="s">
        <v>26</v>
      </c>
    </row>
    <row r="86" spans="1:16" x14ac:dyDescent="0.3">
      <c r="A86" t="s">
        <v>533</v>
      </c>
      <c r="B86" s="1">
        <v>45851</v>
      </c>
      <c r="C86" t="s">
        <v>534</v>
      </c>
      <c r="D86" t="s">
        <v>39</v>
      </c>
      <c r="E86" t="s">
        <v>40</v>
      </c>
      <c r="F86" t="s">
        <v>41</v>
      </c>
      <c r="G86" t="s">
        <v>21</v>
      </c>
      <c r="H86" t="s">
        <v>175</v>
      </c>
      <c r="I86" t="s">
        <v>176</v>
      </c>
      <c r="J86" s="2">
        <v>1950</v>
      </c>
      <c r="K86">
        <v>3</v>
      </c>
      <c r="L86" s="2">
        <v>0</v>
      </c>
      <c r="M86" s="2">
        <v>458.46</v>
      </c>
      <c r="N86" t="s">
        <v>45</v>
      </c>
      <c r="O86" t="s">
        <v>65</v>
      </c>
      <c r="P86" t="s">
        <v>26</v>
      </c>
    </row>
    <row r="87" spans="1:16" x14ac:dyDescent="0.3">
      <c r="A87" t="s">
        <v>865</v>
      </c>
      <c r="B87" s="1">
        <v>46037</v>
      </c>
      <c r="C87" t="s">
        <v>684</v>
      </c>
      <c r="D87" t="s">
        <v>18</v>
      </c>
      <c r="E87" t="s">
        <v>19</v>
      </c>
      <c r="F87" t="s">
        <v>20</v>
      </c>
      <c r="G87" t="s">
        <v>76</v>
      </c>
      <c r="H87" t="s">
        <v>77</v>
      </c>
      <c r="I87" t="s">
        <v>78</v>
      </c>
      <c r="J87" s="2">
        <v>6840</v>
      </c>
      <c r="K87">
        <v>3</v>
      </c>
      <c r="L87" s="2">
        <v>0.05</v>
      </c>
      <c r="M87" s="2">
        <v>878.45</v>
      </c>
      <c r="N87" t="s">
        <v>24</v>
      </c>
      <c r="O87" t="s">
        <v>71</v>
      </c>
      <c r="P87" t="s">
        <v>55</v>
      </c>
    </row>
    <row r="88" spans="1:16" x14ac:dyDescent="0.3">
      <c r="A88" t="s">
        <v>218</v>
      </c>
      <c r="B88" s="1">
        <v>45711</v>
      </c>
      <c r="C88" t="s">
        <v>219</v>
      </c>
      <c r="D88" t="s">
        <v>39</v>
      </c>
      <c r="E88" t="s">
        <v>40</v>
      </c>
      <c r="F88" t="s">
        <v>41</v>
      </c>
      <c r="G88" t="s">
        <v>32</v>
      </c>
      <c r="H88" t="s">
        <v>84</v>
      </c>
      <c r="I88" t="s">
        <v>140</v>
      </c>
      <c r="J88" s="2">
        <v>21375</v>
      </c>
      <c r="K88">
        <v>3</v>
      </c>
      <c r="L88" s="2">
        <v>0.05</v>
      </c>
      <c r="M88" s="2">
        <v>4526.8</v>
      </c>
      <c r="N88" t="s">
        <v>45</v>
      </c>
      <c r="O88" t="s">
        <v>135</v>
      </c>
      <c r="P88" t="s">
        <v>26</v>
      </c>
    </row>
    <row r="89" spans="1:16" x14ac:dyDescent="0.3">
      <c r="A89" t="s">
        <v>1052</v>
      </c>
      <c r="B89" s="1">
        <v>46148</v>
      </c>
      <c r="C89" t="s">
        <v>272</v>
      </c>
      <c r="D89" t="s">
        <v>68</v>
      </c>
      <c r="E89" t="s">
        <v>69</v>
      </c>
      <c r="F89" t="s">
        <v>41</v>
      </c>
      <c r="G89" t="s">
        <v>61</v>
      </c>
      <c r="H89" t="s">
        <v>128</v>
      </c>
      <c r="I89" t="s">
        <v>195</v>
      </c>
      <c r="J89" s="2">
        <v>165300</v>
      </c>
      <c r="K89">
        <v>3</v>
      </c>
      <c r="L89" s="2">
        <v>0.05</v>
      </c>
      <c r="M89" s="2">
        <v>35981.660000000003</v>
      </c>
      <c r="N89" t="s">
        <v>24</v>
      </c>
      <c r="O89" t="s">
        <v>105</v>
      </c>
      <c r="P89" t="s">
        <v>47</v>
      </c>
    </row>
    <row r="90" spans="1:16" x14ac:dyDescent="0.3">
      <c r="A90" t="s">
        <v>463</v>
      </c>
      <c r="B90" s="1">
        <v>45804</v>
      </c>
      <c r="C90" t="s">
        <v>464</v>
      </c>
      <c r="D90" t="s">
        <v>104</v>
      </c>
      <c r="E90" t="s">
        <v>83</v>
      </c>
      <c r="F90" t="s">
        <v>52</v>
      </c>
      <c r="G90" t="s">
        <v>32</v>
      </c>
      <c r="H90" t="s">
        <v>33</v>
      </c>
      <c r="I90" t="s">
        <v>34</v>
      </c>
      <c r="J90" s="2">
        <v>12400</v>
      </c>
      <c r="K90">
        <v>2</v>
      </c>
      <c r="L90" s="2">
        <v>0</v>
      </c>
      <c r="M90" s="2">
        <v>1204.06</v>
      </c>
      <c r="N90" t="s">
        <v>45</v>
      </c>
      <c r="O90" t="s">
        <v>65</v>
      </c>
      <c r="P90" t="s">
        <v>26</v>
      </c>
    </row>
    <row r="91" spans="1:16" x14ac:dyDescent="0.3">
      <c r="A91" t="s">
        <v>1012</v>
      </c>
      <c r="B91" s="1">
        <v>46128</v>
      </c>
      <c r="C91" t="s">
        <v>999</v>
      </c>
      <c r="D91" t="s">
        <v>68</v>
      </c>
      <c r="E91" t="s">
        <v>69</v>
      </c>
      <c r="F91" t="s">
        <v>41</v>
      </c>
      <c r="G91" t="s">
        <v>42</v>
      </c>
      <c r="H91" t="s">
        <v>53</v>
      </c>
      <c r="I91" t="s">
        <v>120</v>
      </c>
      <c r="J91" s="2">
        <v>19950</v>
      </c>
      <c r="K91">
        <v>5</v>
      </c>
      <c r="L91" s="2">
        <v>0.05</v>
      </c>
      <c r="M91" s="2">
        <v>2543.35</v>
      </c>
      <c r="N91" t="s">
        <v>114</v>
      </c>
      <c r="O91" t="s">
        <v>105</v>
      </c>
      <c r="P91" t="s">
        <v>47</v>
      </c>
    </row>
    <row r="92" spans="1:16" x14ac:dyDescent="0.3">
      <c r="A92" t="s">
        <v>709</v>
      </c>
      <c r="B92" s="1">
        <v>45937</v>
      </c>
      <c r="C92" t="s">
        <v>439</v>
      </c>
      <c r="D92" t="s">
        <v>29</v>
      </c>
      <c r="E92" t="s">
        <v>30</v>
      </c>
      <c r="F92" t="s">
        <v>31</v>
      </c>
      <c r="G92" t="s">
        <v>21</v>
      </c>
      <c r="H92" t="s">
        <v>22</v>
      </c>
      <c r="I92" t="s">
        <v>111</v>
      </c>
      <c r="J92" s="2">
        <v>1425</v>
      </c>
      <c r="K92">
        <v>5</v>
      </c>
      <c r="L92" s="2">
        <v>0.05</v>
      </c>
      <c r="M92" s="2">
        <v>375.31</v>
      </c>
      <c r="N92" t="s">
        <v>45</v>
      </c>
      <c r="O92" t="s">
        <v>46</v>
      </c>
      <c r="P92" t="s">
        <v>26</v>
      </c>
    </row>
    <row r="93" spans="1:16" x14ac:dyDescent="0.3">
      <c r="A93" t="s">
        <v>705</v>
      </c>
      <c r="B93" s="1">
        <v>45935</v>
      </c>
      <c r="C93" t="s">
        <v>706</v>
      </c>
      <c r="D93" t="s">
        <v>166</v>
      </c>
      <c r="E93" t="s">
        <v>75</v>
      </c>
      <c r="F93" t="s">
        <v>20</v>
      </c>
      <c r="G93" t="s">
        <v>61</v>
      </c>
      <c r="H93" t="s">
        <v>62</v>
      </c>
      <c r="I93" t="s">
        <v>70</v>
      </c>
      <c r="J93" s="2">
        <v>1620</v>
      </c>
      <c r="K93">
        <v>1</v>
      </c>
      <c r="L93" s="2">
        <v>0.1</v>
      </c>
      <c r="M93" s="2">
        <v>322.57</v>
      </c>
      <c r="N93" t="s">
        <v>24</v>
      </c>
      <c r="O93" t="s">
        <v>108</v>
      </c>
      <c r="P93" t="s">
        <v>47</v>
      </c>
    </row>
    <row r="94" spans="1:16" x14ac:dyDescent="0.3">
      <c r="A94" t="s">
        <v>187</v>
      </c>
      <c r="B94" s="1">
        <v>45698</v>
      </c>
      <c r="C94" t="s">
        <v>188</v>
      </c>
      <c r="D94" t="s">
        <v>39</v>
      </c>
      <c r="E94" t="s">
        <v>40</v>
      </c>
      <c r="F94" t="s">
        <v>41</v>
      </c>
      <c r="G94" t="s">
        <v>61</v>
      </c>
      <c r="H94" t="s">
        <v>62</v>
      </c>
      <c r="I94" t="s">
        <v>63</v>
      </c>
      <c r="J94" s="2">
        <v>2295</v>
      </c>
      <c r="K94">
        <v>3</v>
      </c>
      <c r="L94" s="2">
        <v>0.15</v>
      </c>
      <c r="M94" s="2">
        <v>381.44</v>
      </c>
      <c r="N94" t="s">
        <v>64</v>
      </c>
      <c r="O94" t="s">
        <v>105</v>
      </c>
      <c r="P94" t="s">
        <v>26</v>
      </c>
    </row>
    <row r="95" spans="1:16" x14ac:dyDescent="0.3">
      <c r="A95" t="s">
        <v>1280</v>
      </c>
      <c r="B95" s="1">
        <v>46303</v>
      </c>
      <c r="C95" t="s">
        <v>1051</v>
      </c>
      <c r="D95" t="s">
        <v>82</v>
      </c>
      <c r="E95" t="s">
        <v>83</v>
      </c>
      <c r="F95" t="s">
        <v>52</v>
      </c>
      <c r="G95" t="s">
        <v>42</v>
      </c>
      <c r="H95" t="s">
        <v>43</v>
      </c>
      <c r="I95" t="s">
        <v>44</v>
      </c>
      <c r="J95" s="2">
        <v>42500</v>
      </c>
      <c r="K95">
        <v>5</v>
      </c>
      <c r="L95" s="2">
        <v>0</v>
      </c>
      <c r="M95" s="2">
        <v>4563.53</v>
      </c>
      <c r="N95" t="s">
        <v>24</v>
      </c>
      <c r="O95" t="s">
        <v>36</v>
      </c>
      <c r="P95" t="s">
        <v>26</v>
      </c>
    </row>
    <row r="96" spans="1:16" x14ac:dyDescent="0.3">
      <c r="A96" t="s">
        <v>411</v>
      </c>
      <c r="B96" s="1">
        <v>45787</v>
      </c>
      <c r="C96" t="s">
        <v>412</v>
      </c>
      <c r="D96" t="s">
        <v>152</v>
      </c>
      <c r="E96" t="s">
        <v>153</v>
      </c>
      <c r="F96" t="s">
        <v>20</v>
      </c>
      <c r="G96" t="s">
        <v>21</v>
      </c>
      <c r="H96" t="s">
        <v>22</v>
      </c>
      <c r="I96" t="s">
        <v>23</v>
      </c>
      <c r="J96" s="2">
        <v>855</v>
      </c>
      <c r="K96">
        <v>2</v>
      </c>
      <c r="L96" s="2">
        <v>0.05</v>
      </c>
      <c r="M96" s="2">
        <v>196.28</v>
      </c>
      <c r="N96" t="s">
        <v>45</v>
      </c>
      <c r="O96" t="s">
        <v>105</v>
      </c>
      <c r="P96" t="s">
        <v>55</v>
      </c>
    </row>
    <row r="97" spans="1:16" x14ac:dyDescent="0.3">
      <c r="A97" t="s">
        <v>605</v>
      </c>
      <c r="B97" s="1">
        <v>45884</v>
      </c>
      <c r="C97" t="s">
        <v>606</v>
      </c>
      <c r="D97" t="s">
        <v>58</v>
      </c>
      <c r="E97" t="s">
        <v>59</v>
      </c>
      <c r="F97" t="s">
        <v>60</v>
      </c>
      <c r="G97" t="s">
        <v>61</v>
      </c>
      <c r="H97" t="s">
        <v>98</v>
      </c>
      <c r="I97" t="s">
        <v>156</v>
      </c>
      <c r="J97" s="2">
        <v>108300</v>
      </c>
      <c r="K97">
        <v>3</v>
      </c>
      <c r="L97" s="2">
        <v>0.05</v>
      </c>
      <c r="M97" s="2">
        <v>23806.89</v>
      </c>
      <c r="N97" t="s">
        <v>114</v>
      </c>
      <c r="O97" t="s">
        <v>86</v>
      </c>
      <c r="P97" t="s">
        <v>26</v>
      </c>
    </row>
    <row r="98" spans="1:16" x14ac:dyDescent="0.3">
      <c r="A98" t="s">
        <v>835</v>
      </c>
      <c r="B98" s="1">
        <v>46022</v>
      </c>
      <c r="C98" t="s">
        <v>836</v>
      </c>
      <c r="D98" t="s">
        <v>58</v>
      </c>
      <c r="E98" t="s">
        <v>59</v>
      </c>
      <c r="F98" t="s">
        <v>60</v>
      </c>
      <c r="G98" t="s">
        <v>61</v>
      </c>
      <c r="H98" t="s">
        <v>98</v>
      </c>
      <c r="I98" t="s">
        <v>99</v>
      </c>
      <c r="J98" s="2">
        <v>81000</v>
      </c>
      <c r="K98">
        <v>3</v>
      </c>
      <c r="L98" s="2">
        <v>0.1</v>
      </c>
      <c r="M98" s="2">
        <v>6506.04</v>
      </c>
      <c r="N98" t="s">
        <v>64</v>
      </c>
      <c r="O98" t="s">
        <v>108</v>
      </c>
      <c r="P98" t="s">
        <v>47</v>
      </c>
    </row>
    <row r="99" spans="1:16" x14ac:dyDescent="0.3">
      <c r="A99" t="s">
        <v>145</v>
      </c>
      <c r="B99" s="1">
        <v>45682</v>
      </c>
      <c r="C99" t="s">
        <v>146</v>
      </c>
      <c r="D99" t="s">
        <v>104</v>
      </c>
      <c r="E99" t="s">
        <v>83</v>
      </c>
      <c r="F99" t="s">
        <v>52</v>
      </c>
      <c r="G99" t="s">
        <v>32</v>
      </c>
      <c r="H99" t="s">
        <v>84</v>
      </c>
      <c r="I99" t="s">
        <v>85</v>
      </c>
      <c r="J99" s="2">
        <v>11875</v>
      </c>
      <c r="K99">
        <v>1</v>
      </c>
      <c r="L99" s="2">
        <v>0.05</v>
      </c>
      <c r="M99" s="2">
        <v>2558.9899999999998</v>
      </c>
      <c r="N99" t="s">
        <v>45</v>
      </c>
      <c r="O99" t="s">
        <v>71</v>
      </c>
      <c r="P99" t="s">
        <v>26</v>
      </c>
    </row>
    <row r="100" spans="1:16" x14ac:dyDescent="0.3">
      <c r="A100" t="s">
        <v>124</v>
      </c>
      <c r="B100" s="1">
        <v>45674</v>
      </c>
      <c r="C100" t="s">
        <v>125</v>
      </c>
      <c r="D100" t="s">
        <v>68</v>
      </c>
      <c r="E100" t="s">
        <v>69</v>
      </c>
      <c r="F100" t="s">
        <v>41</v>
      </c>
      <c r="G100" t="s">
        <v>42</v>
      </c>
      <c r="H100" t="s">
        <v>53</v>
      </c>
      <c r="I100" t="s">
        <v>54</v>
      </c>
      <c r="J100" s="2">
        <v>9720</v>
      </c>
      <c r="K100">
        <v>6</v>
      </c>
      <c r="L100" s="2">
        <v>0.1</v>
      </c>
      <c r="M100" s="2">
        <v>1421.83</v>
      </c>
      <c r="N100" t="s">
        <v>64</v>
      </c>
      <c r="O100" t="s">
        <v>86</v>
      </c>
      <c r="P100" t="s">
        <v>55</v>
      </c>
    </row>
    <row r="101" spans="1:16" x14ac:dyDescent="0.3">
      <c r="A101" t="s">
        <v>319</v>
      </c>
      <c r="B101" s="1">
        <v>45746</v>
      </c>
      <c r="C101" t="s">
        <v>320</v>
      </c>
      <c r="D101" t="s">
        <v>18</v>
      </c>
      <c r="E101" t="s">
        <v>19</v>
      </c>
      <c r="F101" t="s">
        <v>20</v>
      </c>
      <c r="G101" t="s">
        <v>21</v>
      </c>
      <c r="H101" t="s">
        <v>22</v>
      </c>
      <c r="I101" t="s">
        <v>23</v>
      </c>
      <c r="J101" s="2">
        <v>2025</v>
      </c>
      <c r="K101">
        <v>5</v>
      </c>
      <c r="L101" s="2">
        <v>0.1</v>
      </c>
      <c r="M101" s="2">
        <v>490.74</v>
      </c>
      <c r="N101" t="s">
        <v>45</v>
      </c>
      <c r="O101" t="s">
        <v>108</v>
      </c>
      <c r="P101" t="s">
        <v>26</v>
      </c>
    </row>
    <row r="102" spans="1:16" x14ac:dyDescent="0.3">
      <c r="A102" t="s">
        <v>306</v>
      </c>
      <c r="B102" s="1">
        <v>45743</v>
      </c>
      <c r="C102" t="s">
        <v>307</v>
      </c>
      <c r="D102" t="s">
        <v>39</v>
      </c>
      <c r="E102" t="s">
        <v>40</v>
      </c>
      <c r="F102" t="s">
        <v>41</v>
      </c>
      <c r="G102" t="s">
        <v>21</v>
      </c>
      <c r="H102" t="s">
        <v>175</v>
      </c>
      <c r="I102" t="s">
        <v>176</v>
      </c>
      <c r="J102" s="2">
        <v>1170</v>
      </c>
      <c r="K102">
        <v>2</v>
      </c>
      <c r="L102" s="2">
        <v>0.1</v>
      </c>
      <c r="M102" s="2">
        <v>315.10000000000002</v>
      </c>
      <c r="N102" t="s">
        <v>114</v>
      </c>
      <c r="O102" t="s">
        <v>46</v>
      </c>
      <c r="P102" t="s">
        <v>26</v>
      </c>
    </row>
    <row r="103" spans="1:16" x14ac:dyDescent="0.3">
      <c r="A103" t="s">
        <v>904</v>
      </c>
      <c r="B103" s="1">
        <v>46059</v>
      </c>
      <c r="C103" t="s">
        <v>57</v>
      </c>
      <c r="D103" t="s">
        <v>74</v>
      </c>
      <c r="E103" t="s">
        <v>75</v>
      </c>
      <c r="F103" t="s">
        <v>20</v>
      </c>
      <c r="G103" t="s">
        <v>76</v>
      </c>
      <c r="H103" t="s">
        <v>122</v>
      </c>
      <c r="I103" t="s">
        <v>217</v>
      </c>
      <c r="J103" s="2">
        <v>4590</v>
      </c>
      <c r="K103">
        <v>3</v>
      </c>
      <c r="L103" s="2">
        <v>0.15</v>
      </c>
      <c r="M103" s="2">
        <v>708.75</v>
      </c>
      <c r="N103" t="s">
        <v>64</v>
      </c>
      <c r="O103" t="s">
        <v>86</v>
      </c>
      <c r="P103" t="s">
        <v>55</v>
      </c>
    </row>
    <row r="104" spans="1:16" x14ac:dyDescent="0.3">
      <c r="A104" t="s">
        <v>832</v>
      </c>
      <c r="B104" s="1">
        <v>46021</v>
      </c>
      <c r="C104" t="s">
        <v>326</v>
      </c>
      <c r="D104" t="s">
        <v>68</v>
      </c>
      <c r="E104" t="s">
        <v>69</v>
      </c>
      <c r="F104" t="s">
        <v>41</v>
      </c>
      <c r="G104" t="s">
        <v>61</v>
      </c>
      <c r="H104" t="s">
        <v>128</v>
      </c>
      <c r="I104" t="s">
        <v>195</v>
      </c>
      <c r="J104" s="2">
        <v>156600</v>
      </c>
      <c r="K104">
        <v>3</v>
      </c>
      <c r="L104" s="2">
        <v>0.1</v>
      </c>
      <c r="M104" s="2">
        <v>21254.9</v>
      </c>
      <c r="N104" t="s">
        <v>64</v>
      </c>
      <c r="O104" t="s">
        <v>65</v>
      </c>
      <c r="P104" t="s">
        <v>26</v>
      </c>
    </row>
    <row r="105" spans="1:16" x14ac:dyDescent="0.3">
      <c r="A105" t="s">
        <v>753</v>
      </c>
      <c r="B105" s="1">
        <v>45968</v>
      </c>
      <c r="C105" t="s">
        <v>620</v>
      </c>
      <c r="D105" t="s">
        <v>82</v>
      </c>
      <c r="E105" t="s">
        <v>83</v>
      </c>
      <c r="F105" t="s">
        <v>52</v>
      </c>
      <c r="G105" t="s">
        <v>32</v>
      </c>
      <c r="H105" t="s">
        <v>92</v>
      </c>
      <c r="I105" t="s">
        <v>93</v>
      </c>
      <c r="J105" s="2">
        <v>9775</v>
      </c>
      <c r="K105">
        <v>1</v>
      </c>
      <c r="L105" s="2">
        <v>0.15</v>
      </c>
      <c r="M105" s="2">
        <v>1878.54</v>
      </c>
      <c r="N105" t="s">
        <v>35</v>
      </c>
      <c r="O105" t="s">
        <v>46</v>
      </c>
      <c r="P105" t="s">
        <v>26</v>
      </c>
    </row>
    <row r="106" spans="1:16" x14ac:dyDescent="0.3">
      <c r="A106" t="s">
        <v>1024</v>
      </c>
      <c r="B106" s="1">
        <v>46134</v>
      </c>
      <c r="C106" t="s">
        <v>760</v>
      </c>
      <c r="D106" t="s">
        <v>39</v>
      </c>
      <c r="E106" t="s">
        <v>40</v>
      </c>
      <c r="F106" t="s">
        <v>41</v>
      </c>
      <c r="G106" t="s">
        <v>32</v>
      </c>
      <c r="H106" t="s">
        <v>84</v>
      </c>
      <c r="I106" t="s">
        <v>85</v>
      </c>
      <c r="J106" s="2">
        <v>37500</v>
      </c>
      <c r="K106">
        <v>3</v>
      </c>
      <c r="L106" s="2">
        <v>0</v>
      </c>
      <c r="M106" s="2">
        <v>3071.14</v>
      </c>
      <c r="N106" t="s">
        <v>24</v>
      </c>
      <c r="O106" t="s">
        <v>36</v>
      </c>
      <c r="P106" t="s">
        <v>47</v>
      </c>
    </row>
    <row r="107" spans="1:16" x14ac:dyDescent="0.3">
      <c r="A107" t="s">
        <v>450</v>
      </c>
      <c r="B107" s="1">
        <v>45799</v>
      </c>
      <c r="C107" t="s">
        <v>431</v>
      </c>
      <c r="D107" t="s">
        <v>173</v>
      </c>
      <c r="E107" t="s">
        <v>174</v>
      </c>
      <c r="F107" t="s">
        <v>60</v>
      </c>
      <c r="G107" t="s">
        <v>32</v>
      </c>
      <c r="H107" t="s">
        <v>33</v>
      </c>
      <c r="I107" t="s">
        <v>34</v>
      </c>
      <c r="J107" s="2">
        <v>22320</v>
      </c>
      <c r="K107">
        <v>4</v>
      </c>
      <c r="L107" s="2">
        <v>0.1</v>
      </c>
      <c r="M107" s="2">
        <v>2715.24</v>
      </c>
      <c r="N107" t="s">
        <v>35</v>
      </c>
      <c r="O107" t="s">
        <v>105</v>
      </c>
      <c r="P107" t="s">
        <v>26</v>
      </c>
    </row>
    <row r="108" spans="1:16" x14ac:dyDescent="0.3">
      <c r="A108" t="s">
        <v>524</v>
      </c>
      <c r="B108" s="1">
        <v>45844</v>
      </c>
      <c r="C108" t="s">
        <v>283</v>
      </c>
      <c r="D108" t="s">
        <v>29</v>
      </c>
      <c r="E108" t="s">
        <v>30</v>
      </c>
      <c r="F108" t="s">
        <v>31</v>
      </c>
      <c r="G108" t="s">
        <v>61</v>
      </c>
      <c r="H108" t="s">
        <v>62</v>
      </c>
      <c r="I108" t="s">
        <v>70</v>
      </c>
      <c r="J108" s="2">
        <v>1800</v>
      </c>
      <c r="K108">
        <v>1</v>
      </c>
      <c r="L108" s="2">
        <v>0</v>
      </c>
      <c r="M108" s="2">
        <v>284.99</v>
      </c>
      <c r="N108" t="s">
        <v>114</v>
      </c>
      <c r="O108" t="s">
        <v>79</v>
      </c>
      <c r="P108" t="s">
        <v>55</v>
      </c>
    </row>
    <row r="109" spans="1:16" x14ac:dyDescent="0.3">
      <c r="A109" t="s">
        <v>1180</v>
      </c>
      <c r="B109" s="1">
        <v>46228</v>
      </c>
      <c r="C109" t="s">
        <v>632</v>
      </c>
      <c r="D109" t="s">
        <v>18</v>
      </c>
      <c r="E109" t="s">
        <v>19</v>
      </c>
      <c r="F109" t="s">
        <v>20</v>
      </c>
      <c r="G109" t="s">
        <v>76</v>
      </c>
      <c r="H109" t="s">
        <v>122</v>
      </c>
      <c r="I109" t="s">
        <v>123</v>
      </c>
      <c r="J109" s="2">
        <v>5610</v>
      </c>
      <c r="K109">
        <v>3</v>
      </c>
      <c r="L109" s="2">
        <v>0.15</v>
      </c>
      <c r="M109" s="2">
        <v>1454.04</v>
      </c>
      <c r="N109" t="s">
        <v>114</v>
      </c>
      <c r="O109" t="s">
        <v>79</v>
      </c>
      <c r="P109" t="s">
        <v>26</v>
      </c>
    </row>
    <row r="110" spans="1:16" x14ac:dyDescent="0.3">
      <c r="A110" t="s">
        <v>661</v>
      </c>
      <c r="B110" s="1">
        <v>45916</v>
      </c>
      <c r="C110" t="s">
        <v>270</v>
      </c>
      <c r="D110" t="s">
        <v>74</v>
      </c>
      <c r="E110" t="s">
        <v>75</v>
      </c>
      <c r="F110" t="s">
        <v>20</v>
      </c>
      <c r="G110" t="s">
        <v>21</v>
      </c>
      <c r="H110" t="s">
        <v>22</v>
      </c>
      <c r="I110" t="s">
        <v>111</v>
      </c>
      <c r="J110" s="2">
        <v>900</v>
      </c>
      <c r="K110">
        <v>3</v>
      </c>
      <c r="L110" s="2">
        <v>0</v>
      </c>
      <c r="M110" s="2">
        <v>111.69</v>
      </c>
      <c r="N110" t="s">
        <v>114</v>
      </c>
      <c r="O110" t="s">
        <v>79</v>
      </c>
      <c r="P110" t="s">
        <v>55</v>
      </c>
    </row>
    <row r="111" spans="1:16" x14ac:dyDescent="0.3">
      <c r="A111" t="s">
        <v>1347</v>
      </c>
      <c r="B111" s="1">
        <v>46347</v>
      </c>
      <c r="C111" t="s">
        <v>943</v>
      </c>
      <c r="D111" t="s">
        <v>152</v>
      </c>
      <c r="E111" t="s">
        <v>153</v>
      </c>
      <c r="F111" t="s">
        <v>20</v>
      </c>
      <c r="G111" t="s">
        <v>76</v>
      </c>
      <c r="H111" t="s">
        <v>77</v>
      </c>
      <c r="I111" t="s">
        <v>78</v>
      </c>
      <c r="J111" s="2">
        <v>7680</v>
      </c>
      <c r="K111">
        <v>4</v>
      </c>
      <c r="L111" s="2">
        <v>0.2</v>
      </c>
      <c r="M111" s="2">
        <v>743.84</v>
      </c>
      <c r="N111" t="s">
        <v>64</v>
      </c>
      <c r="O111" t="s">
        <v>86</v>
      </c>
      <c r="P111" t="s">
        <v>55</v>
      </c>
    </row>
    <row r="112" spans="1:16" x14ac:dyDescent="0.3">
      <c r="A112" t="s">
        <v>1232</v>
      </c>
      <c r="B112" s="1">
        <v>46267</v>
      </c>
      <c r="C112" t="s">
        <v>743</v>
      </c>
      <c r="D112" t="s">
        <v>29</v>
      </c>
      <c r="E112" t="s">
        <v>30</v>
      </c>
      <c r="F112" t="s">
        <v>31</v>
      </c>
      <c r="G112" t="s">
        <v>21</v>
      </c>
      <c r="H112" t="s">
        <v>22</v>
      </c>
      <c r="I112" t="s">
        <v>23</v>
      </c>
      <c r="J112" s="2">
        <v>2025</v>
      </c>
      <c r="K112">
        <v>5</v>
      </c>
      <c r="L112" s="2">
        <v>0.1</v>
      </c>
      <c r="M112" s="2">
        <v>380.27</v>
      </c>
      <c r="N112" t="s">
        <v>45</v>
      </c>
      <c r="O112" t="s">
        <v>36</v>
      </c>
      <c r="P112" t="s">
        <v>55</v>
      </c>
    </row>
    <row r="113" spans="1:16" x14ac:dyDescent="0.3">
      <c r="A113" t="s">
        <v>604</v>
      </c>
      <c r="B113" s="1">
        <v>45883</v>
      </c>
      <c r="C113" t="s">
        <v>557</v>
      </c>
      <c r="D113" t="s">
        <v>91</v>
      </c>
      <c r="E113" t="s">
        <v>91</v>
      </c>
      <c r="F113" t="s">
        <v>60</v>
      </c>
      <c r="G113" t="s">
        <v>76</v>
      </c>
      <c r="H113" t="s">
        <v>122</v>
      </c>
      <c r="I113" t="s">
        <v>217</v>
      </c>
      <c r="J113" s="2">
        <v>1710</v>
      </c>
      <c r="K113">
        <v>1</v>
      </c>
      <c r="L113" s="2">
        <v>0.05</v>
      </c>
      <c r="M113" s="2">
        <v>444.84</v>
      </c>
      <c r="N113" t="s">
        <v>45</v>
      </c>
      <c r="O113" t="s">
        <v>105</v>
      </c>
      <c r="P113" t="s">
        <v>47</v>
      </c>
    </row>
    <row r="114" spans="1:16" x14ac:dyDescent="0.3">
      <c r="A114" t="s">
        <v>738</v>
      </c>
      <c r="B114" s="1">
        <v>45958</v>
      </c>
      <c r="C114" t="s">
        <v>551</v>
      </c>
      <c r="D114" t="s">
        <v>166</v>
      </c>
      <c r="E114" t="s">
        <v>75</v>
      </c>
      <c r="F114" t="s">
        <v>20</v>
      </c>
      <c r="G114" t="s">
        <v>61</v>
      </c>
      <c r="H114" t="s">
        <v>98</v>
      </c>
      <c r="I114" t="s">
        <v>99</v>
      </c>
      <c r="J114" s="2">
        <v>127500</v>
      </c>
      <c r="K114">
        <v>5</v>
      </c>
      <c r="L114" s="2">
        <v>0.15</v>
      </c>
      <c r="M114" s="2">
        <v>34408.720000000001</v>
      </c>
      <c r="N114" t="s">
        <v>45</v>
      </c>
      <c r="O114" t="s">
        <v>86</v>
      </c>
      <c r="P114" t="s">
        <v>47</v>
      </c>
    </row>
    <row r="115" spans="1:16" x14ac:dyDescent="0.3">
      <c r="A115" t="s">
        <v>817</v>
      </c>
      <c r="B115" s="1">
        <v>46010</v>
      </c>
      <c r="C115" t="s">
        <v>139</v>
      </c>
      <c r="D115" t="s">
        <v>18</v>
      </c>
      <c r="E115" t="s">
        <v>19</v>
      </c>
      <c r="F115" t="s">
        <v>20</v>
      </c>
      <c r="G115" t="s">
        <v>21</v>
      </c>
      <c r="H115" t="s">
        <v>22</v>
      </c>
      <c r="I115" t="s">
        <v>23</v>
      </c>
      <c r="J115" s="2">
        <v>382.5</v>
      </c>
      <c r="K115">
        <v>1</v>
      </c>
      <c r="L115" s="2">
        <v>0.15</v>
      </c>
      <c r="M115" s="2">
        <v>84.96</v>
      </c>
      <c r="N115" t="s">
        <v>114</v>
      </c>
      <c r="O115" t="s">
        <v>36</v>
      </c>
      <c r="P115" t="s">
        <v>26</v>
      </c>
    </row>
    <row r="116" spans="1:16" x14ac:dyDescent="0.3">
      <c r="A116" t="s">
        <v>154</v>
      </c>
      <c r="B116" s="1">
        <v>45688</v>
      </c>
      <c r="C116" t="s">
        <v>155</v>
      </c>
      <c r="D116" t="s">
        <v>58</v>
      </c>
      <c r="E116" t="s">
        <v>59</v>
      </c>
      <c r="F116" t="s">
        <v>60</v>
      </c>
      <c r="G116" t="s">
        <v>61</v>
      </c>
      <c r="H116" t="s">
        <v>98</v>
      </c>
      <c r="I116" t="s">
        <v>156</v>
      </c>
      <c r="J116" s="2">
        <v>228000</v>
      </c>
      <c r="K116">
        <v>6</v>
      </c>
      <c r="L116" s="2">
        <v>0</v>
      </c>
      <c r="M116" s="2">
        <v>58442.65</v>
      </c>
      <c r="N116" t="s">
        <v>45</v>
      </c>
      <c r="O116" t="s">
        <v>105</v>
      </c>
      <c r="P116" t="s">
        <v>47</v>
      </c>
    </row>
    <row r="117" spans="1:16" x14ac:dyDescent="0.3">
      <c r="A117" t="s">
        <v>598</v>
      </c>
      <c r="B117" s="1">
        <v>45881</v>
      </c>
      <c r="C117" t="s">
        <v>492</v>
      </c>
      <c r="D117" t="s">
        <v>152</v>
      </c>
      <c r="E117" t="s">
        <v>153</v>
      </c>
      <c r="F117" t="s">
        <v>20</v>
      </c>
      <c r="G117" t="s">
        <v>61</v>
      </c>
      <c r="H117" t="s">
        <v>98</v>
      </c>
      <c r="I117" t="s">
        <v>99</v>
      </c>
      <c r="J117" s="2">
        <v>51000</v>
      </c>
      <c r="K117">
        <v>2</v>
      </c>
      <c r="L117" s="2">
        <v>0.15</v>
      </c>
      <c r="M117" s="2">
        <v>8868.7900000000009</v>
      </c>
      <c r="N117" t="s">
        <v>45</v>
      </c>
      <c r="O117" t="s">
        <v>25</v>
      </c>
      <c r="P117" t="s">
        <v>26</v>
      </c>
    </row>
    <row r="118" spans="1:16" x14ac:dyDescent="0.3">
      <c r="A118" t="s">
        <v>1003</v>
      </c>
      <c r="B118" s="1">
        <v>46124</v>
      </c>
      <c r="C118" t="s">
        <v>81</v>
      </c>
      <c r="D118" t="s">
        <v>119</v>
      </c>
      <c r="E118" t="s">
        <v>75</v>
      </c>
      <c r="F118" t="s">
        <v>20</v>
      </c>
      <c r="G118" t="s">
        <v>61</v>
      </c>
      <c r="H118" t="s">
        <v>128</v>
      </c>
      <c r="I118" t="s">
        <v>195</v>
      </c>
      <c r="J118" s="2">
        <v>232000</v>
      </c>
      <c r="K118">
        <v>4</v>
      </c>
      <c r="L118" s="2">
        <v>0</v>
      </c>
      <c r="M118" s="2">
        <v>56546.73</v>
      </c>
      <c r="N118" t="s">
        <v>64</v>
      </c>
      <c r="O118" t="s">
        <v>71</v>
      </c>
      <c r="P118" t="s">
        <v>55</v>
      </c>
    </row>
    <row r="119" spans="1:16" x14ac:dyDescent="0.3">
      <c r="A119" t="s">
        <v>636</v>
      </c>
      <c r="B119" s="1">
        <v>45899</v>
      </c>
      <c r="C119" t="s">
        <v>637</v>
      </c>
      <c r="D119" t="s">
        <v>68</v>
      </c>
      <c r="E119" t="s">
        <v>69</v>
      </c>
      <c r="F119" t="s">
        <v>41</v>
      </c>
      <c r="G119" t="s">
        <v>21</v>
      </c>
      <c r="H119" t="s">
        <v>22</v>
      </c>
      <c r="I119" t="s">
        <v>111</v>
      </c>
      <c r="J119" s="2">
        <v>1500</v>
      </c>
      <c r="K119">
        <v>5</v>
      </c>
      <c r="L119" s="2">
        <v>0</v>
      </c>
      <c r="M119" s="2">
        <v>401.17</v>
      </c>
      <c r="N119" t="s">
        <v>64</v>
      </c>
      <c r="O119" t="s">
        <v>79</v>
      </c>
      <c r="P119" t="s">
        <v>26</v>
      </c>
    </row>
    <row r="120" spans="1:16" x14ac:dyDescent="0.3">
      <c r="A120" t="s">
        <v>1341</v>
      </c>
      <c r="B120" s="1">
        <v>46344</v>
      </c>
      <c r="C120" t="s">
        <v>999</v>
      </c>
      <c r="D120" t="s">
        <v>58</v>
      </c>
      <c r="E120" t="s">
        <v>59</v>
      </c>
      <c r="F120" t="s">
        <v>60</v>
      </c>
      <c r="G120" t="s">
        <v>21</v>
      </c>
      <c r="H120" t="s">
        <v>22</v>
      </c>
      <c r="I120" t="s">
        <v>111</v>
      </c>
      <c r="J120" s="2">
        <v>600</v>
      </c>
      <c r="K120">
        <v>2</v>
      </c>
      <c r="L120" s="2">
        <v>0</v>
      </c>
      <c r="M120" s="2">
        <v>150.29</v>
      </c>
      <c r="N120" t="s">
        <v>45</v>
      </c>
      <c r="O120" t="s">
        <v>135</v>
      </c>
      <c r="P120" t="s">
        <v>26</v>
      </c>
    </row>
    <row r="121" spans="1:16" x14ac:dyDescent="0.3">
      <c r="A121" t="s">
        <v>1178</v>
      </c>
      <c r="B121" s="1">
        <v>46227</v>
      </c>
      <c r="C121" t="s">
        <v>626</v>
      </c>
      <c r="D121" t="s">
        <v>68</v>
      </c>
      <c r="E121" t="s">
        <v>69</v>
      </c>
      <c r="F121" t="s">
        <v>41</v>
      </c>
      <c r="G121" t="s">
        <v>61</v>
      </c>
      <c r="H121" t="s">
        <v>98</v>
      </c>
      <c r="I121" t="s">
        <v>156</v>
      </c>
      <c r="J121" s="2">
        <v>36100</v>
      </c>
      <c r="K121">
        <v>1</v>
      </c>
      <c r="L121" s="2">
        <v>0.05</v>
      </c>
      <c r="M121" s="2">
        <v>6186.7</v>
      </c>
      <c r="N121" t="s">
        <v>35</v>
      </c>
      <c r="O121" t="s">
        <v>65</v>
      </c>
      <c r="P121" t="s">
        <v>26</v>
      </c>
    </row>
    <row r="122" spans="1:16" x14ac:dyDescent="0.3">
      <c r="A122" t="s">
        <v>304</v>
      </c>
      <c r="B122" s="1">
        <v>45741</v>
      </c>
      <c r="C122" t="s">
        <v>305</v>
      </c>
      <c r="D122" t="s">
        <v>74</v>
      </c>
      <c r="E122" t="s">
        <v>75</v>
      </c>
      <c r="F122" t="s">
        <v>20</v>
      </c>
      <c r="G122" t="s">
        <v>21</v>
      </c>
      <c r="H122" t="s">
        <v>179</v>
      </c>
      <c r="I122" t="s">
        <v>180</v>
      </c>
      <c r="J122" s="2">
        <v>10800</v>
      </c>
      <c r="K122">
        <v>5</v>
      </c>
      <c r="L122" s="2">
        <v>0.1</v>
      </c>
      <c r="M122" s="2">
        <v>1277.97</v>
      </c>
      <c r="N122" t="s">
        <v>45</v>
      </c>
      <c r="O122" t="s">
        <v>25</v>
      </c>
      <c r="P122" t="s">
        <v>47</v>
      </c>
    </row>
    <row r="123" spans="1:16" x14ac:dyDescent="0.3">
      <c r="A123" t="s">
        <v>1306</v>
      </c>
      <c r="B123" s="1">
        <v>46316</v>
      </c>
      <c r="C123" t="s">
        <v>499</v>
      </c>
      <c r="D123" t="s">
        <v>68</v>
      </c>
      <c r="E123" t="s">
        <v>69</v>
      </c>
      <c r="F123" t="s">
        <v>41</v>
      </c>
      <c r="G123" t="s">
        <v>61</v>
      </c>
      <c r="H123" t="s">
        <v>62</v>
      </c>
      <c r="I123" t="s">
        <v>63</v>
      </c>
      <c r="J123" s="2">
        <v>3825</v>
      </c>
      <c r="K123">
        <v>5</v>
      </c>
      <c r="L123" s="2">
        <v>0.15</v>
      </c>
      <c r="M123" s="2">
        <v>877.85</v>
      </c>
      <c r="N123" t="s">
        <v>45</v>
      </c>
      <c r="O123" t="s">
        <v>25</v>
      </c>
      <c r="P123" t="s">
        <v>47</v>
      </c>
    </row>
    <row r="124" spans="1:16" x14ac:dyDescent="0.3">
      <c r="A124" t="s">
        <v>686</v>
      </c>
      <c r="B124" s="1">
        <v>45928</v>
      </c>
      <c r="C124" t="s">
        <v>666</v>
      </c>
      <c r="D124" t="s">
        <v>68</v>
      </c>
      <c r="E124" t="s">
        <v>69</v>
      </c>
      <c r="F124" t="s">
        <v>41</v>
      </c>
      <c r="G124" t="s">
        <v>42</v>
      </c>
      <c r="H124" t="s">
        <v>53</v>
      </c>
      <c r="I124" t="s">
        <v>54</v>
      </c>
      <c r="J124" s="2">
        <v>8550</v>
      </c>
      <c r="K124">
        <v>5</v>
      </c>
      <c r="L124" s="2">
        <v>0.05</v>
      </c>
      <c r="M124" s="2">
        <v>2116.5500000000002</v>
      </c>
      <c r="N124" t="s">
        <v>24</v>
      </c>
      <c r="O124" t="s">
        <v>36</v>
      </c>
      <c r="P124" t="s">
        <v>26</v>
      </c>
    </row>
    <row r="125" spans="1:16" x14ac:dyDescent="0.3">
      <c r="A125" t="s">
        <v>1350</v>
      </c>
      <c r="B125" s="1">
        <v>46350</v>
      </c>
      <c r="C125" t="s">
        <v>597</v>
      </c>
      <c r="D125" t="s">
        <v>39</v>
      </c>
      <c r="E125" t="s">
        <v>40</v>
      </c>
      <c r="F125" t="s">
        <v>41</v>
      </c>
      <c r="G125" t="s">
        <v>42</v>
      </c>
      <c r="H125" t="s">
        <v>43</v>
      </c>
      <c r="I125" t="s">
        <v>44</v>
      </c>
      <c r="J125" s="2">
        <v>21675</v>
      </c>
      <c r="K125">
        <v>3</v>
      </c>
      <c r="L125" s="2">
        <v>0.15</v>
      </c>
      <c r="M125" s="2">
        <v>4666.88</v>
      </c>
      <c r="N125" t="s">
        <v>64</v>
      </c>
      <c r="O125" t="s">
        <v>46</v>
      </c>
      <c r="P125" t="s">
        <v>26</v>
      </c>
    </row>
    <row r="126" spans="1:16" x14ac:dyDescent="0.3">
      <c r="A126" t="s">
        <v>1073</v>
      </c>
      <c r="B126" s="1">
        <v>46158</v>
      </c>
      <c r="C126" t="s">
        <v>311</v>
      </c>
      <c r="D126" t="s">
        <v>173</v>
      </c>
      <c r="E126" t="s">
        <v>174</v>
      </c>
      <c r="F126" t="s">
        <v>60</v>
      </c>
      <c r="G126" t="s">
        <v>42</v>
      </c>
      <c r="H126" t="s">
        <v>279</v>
      </c>
      <c r="I126" t="s">
        <v>280</v>
      </c>
      <c r="J126" s="2">
        <v>11875</v>
      </c>
      <c r="K126">
        <v>1</v>
      </c>
      <c r="L126" s="2">
        <v>0.05</v>
      </c>
      <c r="M126" s="2">
        <v>2084.04</v>
      </c>
      <c r="N126" t="s">
        <v>45</v>
      </c>
      <c r="O126" t="s">
        <v>25</v>
      </c>
      <c r="P126" t="s">
        <v>26</v>
      </c>
    </row>
    <row r="127" spans="1:16" x14ac:dyDescent="0.3">
      <c r="A127" t="s">
        <v>1390</v>
      </c>
      <c r="B127" s="1">
        <v>46386</v>
      </c>
      <c r="C127" t="s">
        <v>884</v>
      </c>
      <c r="D127" t="s">
        <v>166</v>
      </c>
      <c r="E127" t="s">
        <v>75</v>
      </c>
      <c r="F127" t="s">
        <v>20</v>
      </c>
      <c r="G127" t="s">
        <v>42</v>
      </c>
      <c r="H127" t="s">
        <v>53</v>
      </c>
      <c r="I127" t="s">
        <v>54</v>
      </c>
      <c r="J127" s="2">
        <v>8640</v>
      </c>
      <c r="K127">
        <v>6</v>
      </c>
      <c r="L127" s="2">
        <v>0.2</v>
      </c>
      <c r="M127" s="2">
        <v>1738.7</v>
      </c>
      <c r="N127" t="s">
        <v>64</v>
      </c>
      <c r="O127" t="s">
        <v>86</v>
      </c>
      <c r="P127" t="s">
        <v>55</v>
      </c>
    </row>
    <row r="128" spans="1:16" x14ac:dyDescent="0.3">
      <c r="A128" t="s">
        <v>750</v>
      </c>
      <c r="B128" s="1">
        <v>45967</v>
      </c>
      <c r="C128" t="s">
        <v>437</v>
      </c>
      <c r="D128" t="s">
        <v>82</v>
      </c>
      <c r="E128" t="s">
        <v>83</v>
      </c>
      <c r="F128" t="s">
        <v>52</v>
      </c>
      <c r="G128" t="s">
        <v>42</v>
      </c>
      <c r="H128" t="s">
        <v>53</v>
      </c>
      <c r="I128" t="s">
        <v>120</v>
      </c>
      <c r="J128" s="2">
        <v>4200</v>
      </c>
      <c r="K128">
        <v>1</v>
      </c>
      <c r="L128" s="2">
        <v>0</v>
      </c>
      <c r="M128" s="2">
        <v>815.56</v>
      </c>
      <c r="N128" t="s">
        <v>35</v>
      </c>
      <c r="O128" t="s">
        <v>86</v>
      </c>
      <c r="P128" t="s">
        <v>47</v>
      </c>
    </row>
    <row r="129" spans="1:16" x14ac:dyDescent="0.3">
      <c r="A129" t="s">
        <v>1315</v>
      </c>
      <c r="B129" s="1">
        <v>46323</v>
      </c>
      <c r="C129" t="s">
        <v>190</v>
      </c>
      <c r="D129" t="s">
        <v>68</v>
      </c>
      <c r="E129" t="s">
        <v>69</v>
      </c>
      <c r="F129" t="s">
        <v>41</v>
      </c>
      <c r="G129" t="s">
        <v>61</v>
      </c>
      <c r="H129" t="s">
        <v>128</v>
      </c>
      <c r="I129" t="s">
        <v>129</v>
      </c>
      <c r="J129" s="2">
        <v>44200</v>
      </c>
      <c r="K129">
        <v>1</v>
      </c>
      <c r="L129" s="2">
        <v>0.15</v>
      </c>
      <c r="M129" s="2">
        <v>3387.22</v>
      </c>
      <c r="N129" t="s">
        <v>35</v>
      </c>
      <c r="O129" t="s">
        <v>108</v>
      </c>
      <c r="P129" t="s">
        <v>47</v>
      </c>
    </row>
    <row r="130" spans="1:16" x14ac:dyDescent="0.3">
      <c r="A130" t="s">
        <v>94</v>
      </c>
      <c r="B130" s="1">
        <v>45666</v>
      </c>
      <c r="C130" t="s">
        <v>95</v>
      </c>
      <c r="D130" t="s">
        <v>96</v>
      </c>
      <c r="E130" t="s">
        <v>97</v>
      </c>
      <c r="F130" t="s">
        <v>20</v>
      </c>
      <c r="G130" t="s">
        <v>61</v>
      </c>
      <c r="H130" t="s">
        <v>98</v>
      </c>
      <c r="I130" t="s">
        <v>99</v>
      </c>
      <c r="J130" s="2">
        <v>24000</v>
      </c>
      <c r="K130">
        <v>1</v>
      </c>
      <c r="L130" s="2">
        <v>0.2</v>
      </c>
      <c r="M130" s="2">
        <v>1846.07</v>
      </c>
      <c r="N130" t="s">
        <v>64</v>
      </c>
      <c r="O130" t="s">
        <v>71</v>
      </c>
      <c r="P130" t="s">
        <v>47</v>
      </c>
    </row>
    <row r="131" spans="1:16" x14ac:dyDescent="0.3">
      <c r="A131" t="s">
        <v>885</v>
      </c>
      <c r="B131" s="1">
        <v>46047</v>
      </c>
      <c r="C131" t="s">
        <v>184</v>
      </c>
      <c r="D131" t="s">
        <v>68</v>
      </c>
      <c r="E131" t="s">
        <v>69</v>
      </c>
      <c r="F131" t="s">
        <v>41</v>
      </c>
      <c r="G131" t="s">
        <v>42</v>
      </c>
      <c r="H131" t="s">
        <v>53</v>
      </c>
      <c r="I131" t="s">
        <v>54</v>
      </c>
      <c r="J131" s="2">
        <v>4860</v>
      </c>
      <c r="K131">
        <v>3</v>
      </c>
      <c r="L131" s="2">
        <v>0.1</v>
      </c>
      <c r="M131" s="2">
        <v>979.94</v>
      </c>
      <c r="N131" t="s">
        <v>64</v>
      </c>
      <c r="O131" t="s">
        <v>108</v>
      </c>
      <c r="P131" t="s">
        <v>47</v>
      </c>
    </row>
    <row r="132" spans="1:16" x14ac:dyDescent="0.3">
      <c r="A132" t="s">
        <v>1175</v>
      </c>
      <c r="B132" s="1">
        <v>46224</v>
      </c>
      <c r="C132" t="s">
        <v>914</v>
      </c>
      <c r="D132" t="s">
        <v>50</v>
      </c>
      <c r="E132" t="s">
        <v>51</v>
      </c>
      <c r="F132" t="s">
        <v>52</v>
      </c>
      <c r="G132" t="s">
        <v>42</v>
      </c>
      <c r="H132" t="s">
        <v>279</v>
      </c>
      <c r="I132" t="s">
        <v>280</v>
      </c>
      <c r="J132" s="2">
        <v>50000</v>
      </c>
      <c r="K132">
        <v>4</v>
      </c>
      <c r="L132" s="2">
        <v>0</v>
      </c>
      <c r="M132" s="2">
        <v>12717.84</v>
      </c>
      <c r="N132" t="s">
        <v>114</v>
      </c>
      <c r="O132" t="s">
        <v>86</v>
      </c>
      <c r="P132" t="s">
        <v>26</v>
      </c>
    </row>
    <row r="133" spans="1:16" x14ac:dyDescent="0.3">
      <c r="A133" t="s">
        <v>1145</v>
      </c>
      <c r="B133" s="1">
        <v>46206</v>
      </c>
      <c r="C133" t="s">
        <v>618</v>
      </c>
      <c r="D133" t="s">
        <v>152</v>
      </c>
      <c r="E133" t="s">
        <v>153</v>
      </c>
      <c r="F133" t="s">
        <v>20</v>
      </c>
      <c r="G133" t="s">
        <v>32</v>
      </c>
      <c r="H133" t="s">
        <v>84</v>
      </c>
      <c r="I133" t="s">
        <v>85</v>
      </c>
      <c r="J133" s="2">
        <v>37500</v>
      </c>
      <c r="K133">
        <v>3</v>
      </c>
      <c r="L133" s="2">
        <v>0</v>
      </c>
      <c r="M133" s="2">
        <v>3156.46</v>
      </c>
      <c r="N133" t="s">
        <v>45</v>
      </c>
      <c r="O133" t="s">
        <v>108</v>
      </c>
      <c r="P133" t="s">
        <v>55</v>
      </c>
    </row>
    <row r="134" spans="1:16" x14ac:dyDescent="0.3">
      <c r="A134" t="s">
        <v>143</v>
      </c>
      <c r="B134" s="1">
        <v>45681</v>
      </c>
      <c r="C134" t="s">
        <v>144</v>
      </c>
      <c r="D134" t="s">
        <v>74</v>
      </c>
      <c r="E134" t="s">
        <v>75</v>
      </c>
      <c r="F134" t="s">
        <v>20</v>
      </c>
      <c r="G134" t="s">
        <v>61</v>
      </c>
      <c r="H134" t="s">
        <v>62</v>
      </c>
      <c r="I134" t="s">
        <v>70</v>
      </c>
      <c r="J134" s="2">
        <v>1530</v>
      </c>
      <c r="K134">
        <v>1</v>
      </c>
      <c r="L134" s="2">
        <v>0.15</v>
      </c>
      <c r="M134" s="2">
        <v>142.18</v>
      </c>
      <c r="N134" t="s">
        <v>24</v>
      </c>
      <c r="O134" t="s">
        <v>65</v>
      </c>
      <c r="P134" t="s">
        <v>47</v>
      </c>
    </row>
    <row r="135" spans="1:16" x14ac:dyDescent="0.3">
      <c r="A135" t="s">
        <v>789</v>
      </c>
      <c r="B135" s="1">
        <v>45992</v>
      </c>
      <c r="C135" t="s">
        <v>790</v>
      </c>
      <c r="D135" t="s">
        <v>119</v>
      </c>
      <c r="E135" t="s">
        <v>75</v>
      </c>
      <c r="F135" t="s">
        <v>20</v>
      </c>
      <c r="G135" t="s">
        <v>21</v>
      </c>
      <c r="H135" t="s">
        <v>22</v>
      </c>
      <c r="I135" t="s">
        <v>23</v>
      </c>
      <c r="J135" s="2">
        <v>1800</v>
      </c>
      <c r="K135">
        <v>4</v>
      </c>
      <c r="L135" s="2">
        <v>0</v>
      </c>
      <c r="M135" s="2">
        <v>286.39</v>
      </c>
      <c r="N135" t="s">
        <v>35</v>
      </c>
      <c r="O135" t="s">
        <v>135</v>
      </c>
      <c r="P135" t="s">
        <v>55</v>
      </c>
    </row>
    <row r="136" spans="1:16" x14ac:dyDescent="0.3">
      <c r="A136" t="s">
        <v>1102</v>
      </c>
      <c r="B136" s="1">
        <v>46177</v>
      </c>
      <c r="C136" t="s">
        <v>769</v>
      </c>
      <c r="D136" t="s">
        <v>58</v>
      </c>
      <c r="E136" t="s">
        <v>59</v>
      </c>
      <c r="F136" t="s">
        <v>60</v>
      </c>
      <c r="G136" t="s">
        <v>76</v>
      </c>
      <c r="H136" t="s">
        <v>122</v>
      </c>
      <c r="I136" t="s">
        <v>123</v>
      </c>
      <c r="J136" s="2">
        <v>5940</v>
      </c>
      <c r="K136">
        <v>3</v>
      </c>
      <c r="L136" s="2">
        <v>0.1</v>
      </c>
      <c r="M136" s="2">
        <v>1152.25</v>
      </c>
      <c r="N136" t="s">
        <v>35</v>
      </c>
      <c r="O136" t="s">
        <v>71</v>
      </c>
      <c r="P136" t="s">
        <v>55</v>
      </c>
    </row>
    <row r="137" spans="1:16" x14ac:dyDescent="0.3">
      <c r="A137" t="s">
        <v>1085</v>
      </c>
      <c r="B137" s="1">
        <v>46161</v>
      </c>
      <c r="C137" t="s">
        <v>186</v>
      </c>
      <c r="D137" t="s">
        <v>104</v>
      </c>
      <c r="E137" t="s">
        <v>83</v>
      </c>
      <c r="F137" t="s">
        <v>52</v>
      </c>
      <c r="G137" t="s">
        <v>76</v>
      </c>
      <c r="H137" t="s">
        <v>77</v>
      </c>
      <c r="I137" t="s">
        <v>171</v>
      </c>
      <c r="J137" s="2">
        <v>1520</v>
      </c>
      <c r="K137">
        <v>1</v>
      </c>
      <c r="L137" s="2">
        <v>0.05</v>
      </c>
      <c r="M137" s="2">
        <v>379.12</v>
      </c>
      <c r="N137" t="s">
        <v>24</v>
      </c>
      <c r="O137" t="s">
        <v>71</v>
      </c>
      <c r="P137" t="s">
        <v>55</v>
      </c>
    </row>
    <row r="138" spans="1:16" x14ac:dyDescent="0.3">
      <c r="A138" t="s">
        <v>977</v>
      </c>
      <c r="B138" s="1">
        <v>46106</v>
      </c>
      <c r="C138" t="s">
        <v>978</v>
      </c>
      <c r="D138" t="s">
        <v>82</v>
      </c>
      <c r="E138" t="s">
        <v>83</v>
      </c>
      <c r="F138" t="s">
        <v>52</v>
      </c>
      <c r="G138" t="s">
        <v>21</v>
      </c>
      <c r="H138" t="s">
        <v>22</v>
      </c>
      <c r="I138" t="s">
        <v>23</v>
      </c>
      <c r="J138" s="2">
        <v>427.5</v>
      </c>
      <c r="K138">
        <v>1</v>
      </c>
      <c r="L138" s="2">
        <v>0.05</v>
      </c>
      <c r="M138" s="2">
        <v>106.47</v>
      </c>
      <c r="N138" t="s">
        <v>24</v>
      </c>
      <c r="O138" t="s">
        <v>46</v>
      </c>
      <c r="P138" t="s">
        <v>55</v>
      </c>
    </row>
    <row r="139" spans="1:16" x14ac:dyDescent="0.3">
      <c r="A139" t="s">
        <v>828</v>
      </c>
      <c r="B139" s="1">
        <v>46018</v>
      </c>
      <c r="C139" t="s">
        <v>537</v>
      </c>
      <c r="D139" t="s">
        <v>96</v>
      </c>
      <c r="E139" t="s">
        <v>97</v>
      </c>
      <c r="F139" t="s">
        <v>20</v>
      </c>
      <c r="G139" t="s">
        <v>61</v>
      </c>
      <c r="H139" t="s">
        <v>98</v>
      </c>
      <c r="I139" t="s">
        <v>156</v>
      </c>
      <c r="J139" s="2">
        <v>228000</v>
      </c>
      <c r="K139">
        <v>6</v>
      </c>
      <c r="L139" s="2">
        <v>0</v>
      </c>
      <c r="M139" s="2">
        <v>41941.69</v>
      </c>
      <c r="N139" t="s">
        <v>24</v>
      </c>
      <c r="O139" t="s">
        <v>86</v>
      </c>
      <c r="P139" t="s">
        <v>55</v>
      </c>
    </row>
    <row r="140" spans="1:16" x14ac:dyDescent="0.3">
      <c r="A140" t="s">
        <v>552</v>
      </c>
      <c r="B140" s="1">
        <v>45861</v>
      </c>
      <c r="C140" t="s">
        <v>553</v>
      </c>
      <c r="D140" t="s">
        <v>68</v>
      </c>
      <c r="E140" t="s">
        <v>69</v>
      </c>
      <c r="F140" t="s">
        <v>41</v>
      </c>
      <c r="G140" t="s">
        <v>42</v>
      </c>
      <c r="H140" t="s">
        <v>279</v>
      </c>
      <c r="I140" t="s">
        <v>280</v>
      </c>
      <c r="J140" s="2">
        <v>75000</v>
      </c>
      <c r="K140">
        <v>6</v>
      </c>
      <c r="L140" s="2">
        <v>0</v>
      </c>
      <c r="M140" s="2">
        <v>6550.07</v>
      </c>
      <c r="N140" t="s">
        <v>64</v>
      </c>
      <c r="O140" t="s">
        <v>86</v>
      </c>
      <c r="P140" t="s">
        <v>55</v>
      </c>
    </row>
    <row r="141" spans="1:16" x14ac:dyDescent="0.3">
      <c r="A141" t="s">
        <v>733</v>
      </c>
      <c r="B141" s="1">
        <v>45950</v>
      </c>
      <c r="C141" t="s">
        <v>229</v>
      </c>
      <c r="D141" t="s">
        <v>96</v>
      </c>
      <c r="E141" t="s">
        <v>97</v>
      </c>
      <c r="F141" t="s">
        <v>20</v>
      </c>
      <c r="G141" t="s">
        <v>21</v>
      </c>
      <c r="H141" t="s">
        <v>179</v>
      </c>
      <c r="I141" t="s">
        <v>180</v>
      </c>
      <c r="J141" s="2">
        <v>12000</v>
      </c>
      <c r="K141">
        <v>5</v>
      </c>
      <c r="L141" s="2">
        <v>0</v>
      </c>
      <c r="M141" s="2">
        <v>3328.06</v>
      </c>
      <c r="N141" t="s">
        <v>114</v>
      </c>
      <c r="O141" t="s">
        <v>25</v>
      </c>
      <c r="P141" t="s">
        <v>55</v>
      </c>
    </row>
    <row r="142" spans="1:16" x14ac:dyDescent="0.3">
      <c r="A142" t="s">
        <v>1048</v>
      </c>
      <c r="B142" s="1">
        <v>46147</v>
      </c>
      <c r="C142" t="s">
        <v>144</v>
      </c>
      <c r="D142" t="s">
        <v>74</v>
      </c>
      <c r="E142" t="s">
        <v>75</v>
      </c>
      <c r="F142" t="s">
        <v>20</v>
      </c>
      <c r="G142" t="s">
        <v>21</v>
      </c>
      <c r="H142" t="s">
        <v>22</v>
      </c>
      <c r="I142" t="s">
        <v>23</v>
      </c>
      <c r="J142" s="2">
        <v>1282.5</v>
      </c>
      <c r="K142">
        <v>3</v>
      </c>
      <c r="L142" s="2">
        <v>0.05</v>
      </c>
      <c r="M142" s="2">
        <v>229.23</v>
      </c>
      <c r="N142" t="s">
        <v>35</v>
      </c>
      <c r="O142" t="s">
        <v>86</v>
      </c>
      <c r="P142" t="s">
        <v>55</v>
      </c>
    </row>
    <row r="143" spans="1:16" x14ac:dyDescent="0.3">
      <c r="A143" t="s">
        <v>944</v>
      </c>
      <c r="B143" s="1">
        <v>46084</v>
      </c>
      <c r="C143" t="s">
        <v>700</v>
      </c>
      <c r="D143" t="s">
        <v>50</v>
      </c>
      <c r="E143" t="s">
        <v>51</v>
      </c>
      <c r="F143" t="s">
        <v>52</v>
      </c>
      <c r="G143" t="s">
        <v>61</v>
      </c>
      <c r="H143" t="s">
        <v>128</v>
      </c>
      <c r="I143" t="s">
        <v>129</v>
      </c>
      <c r="J143" s="2">
        <v>83200</v>
      </c>
      <c r="K143">
        <v>2</v>
      </c>
      <c r="L143" s="2">
        <v>0.2</v>
      </c>
      <c r="M143" s="2">
        <v>15054.04</v>
      </c>
      <c r="N143" t="s">
        <v>24</v>
      </c>
      <c r="O143" t="s">
        <v>79</v>
      </c>
      <c r="P143" t="s">
        <v>55</v>
      </c>
    </row>
    <row r="144" spans="1:16" x14ac:dyDescent="0.3">
      <c r="A144" t="s">
        <v>406</v>
      </c>
      <c r="B144" s="1">
        <v>45786</v>
      </c>
      <c r="C144" t="s">
        <v>407</v>
      </c>
      <c r="D144" t="s">
        <v>29</v>
      </c>
      <c r="E144" t="s">
        <v>30</v>
      </c>
      <c r="F144" t="s">
        <v>31</v>
      </c>
      <c r="G144" t="s">
        <v>61</v>
      </c>
      <c r="H144" t="s">
        <v>98</v>
      </c>
      <c r="I144" t="s">
        <v>99</v>
      </c>
      <c r="J144" s="2">
        <v>57000</v>
      </c>
      <c r="K144">
        <v>2</v>
      </c>
      <c r="L144" s="2">
        <v>0.05</v>
      </c>
      <c r="M144" s="2">
        <v>11818.2</v>
      </c>
      <c r="N144" t="s">
        <v>114</v>
      </c>
      <c r="O144" t="s">
        <v>79</v>
      </c>
      <c r="P144" t="s">
        <v>55</v>
      </c>
    </row>
    <row r="145" spans="1:16" x14ac:dyDescent="0.3">
      <c r="A145" t="s">
        <v>1127</v>
      </c>
      <c r="B145" s="1">
        <v>46195</v>
      </c>
      <c r="C145" t="s">
        <v>728</v>
      </c>
      <c r="D145" t="s">
        <v>166</v>
      </c>
      <c r="E145" t="s">
        <v>75</v>
      </c>
      <c r="F145" t="s">
        <v>20</v>
      </c>
      <c r="G145" t="s">
        <v>21</v>
      </c>
      <c r="H145" t="s">
        <v>179</v>
      </c>
      <c r="I145" t="s">
        <v>180</v>
      </c>
      <c r="J145" s="2">
        <v>4560</v>
      </c>
      <c r="K145">
        <v>2</v>
      </c>
      <c r="L145" s="2">
        <v>0.05</v>
      </c>
      <c r="M145" s="2">
        <v>363.81</v>
      </c>
      <c r="N145" t="s">
        <v>64</v>
      </c>
      <c r="O145" t="s">
        <v>86</v>
      </c>
      <c r="P145" t="s">
        <v>26</v>
      </c>
    </row>
    <row r="146" spans="1:16" x14ac:dyDescent="0.3">
      <c r="A146" t="s">
        <v>829</v>
      </c>
      <c r="B146" s="1">
        <v>46018</v>
      </c>
      <c r="C146" t="s">
        <v>329</v>
      </c>
      <c r="D146" t="s">
        <v>173</v>
      </c>
      <c r="E146" t="s">
        <v>174</v>
      </c>
      <c r="F146" t="s">
        <v>60</v>
      </c>
      <c r="G146" t="s">
        <v>76</v>
      </c>
      <c r="H146" t="s">
        <v>77</v>
      </c>
      <c r="I146" t="s">
        <v>171</v>
      </c>
      <c r="J146" s="2">
        <v>4080</v>
      </c>
      <c r="K146">
        <v>3</v>
      </c>
      <c r="L146" s="2">
        <v>0.15</v>
      </c>
      <c r="M146" s="2">
        <v>929.68</v>
      </c>
      <c r="N146" t="s">
        <v>64</v>
      </c>
      <c r="O146" t="s">
        <v>25</v>
      </c>
      <c r="P146" t="s">
        <v>26</v>
      </c>
    </row>
    <row r="147" spans="1:16" x14ac:dyDescent="0.3">
      <c r="A147" t="s">
        <v>868</v>
      </c>
      <c r="B147" s="1">
        <v>46038</v>
      </c>
      <c r="C147" t="s">
        <v>869</v>
      </c>
      <c r="D147" t="s">
        <v>91</v>
      </c>
      <c r="E147" t="s">
        <v>91</v>
      </c>
      <c r="F147" t="s">
        <v>60</v>
      </c>
      <c r="G147" t="s">
        <v>76</v>
      </c>
      <c r="H147" t="s">
        <v>77</v>
      </c>
      <c r="I147" t="s">
        <v>171</v>
      </c>
      <c r="J147" s="2">
        <v>7200</v>
      </c>
      <c r="K147">
        <v>5</v>
      </c>
      <c r="L147" s="2">
        <v>0.1</v>
      </c>
      <c r="M147" s="2">
        <v>1540.11</v>
      </c>
      <c r="N147" t="s">
        <v>24</v>
      </c>
      <c r="O147" t="s">
        <v>79</v>
      </c>
      <c r="P147" t="s">
        <v>55</v>
      </c>
    </row>
    <row r="148" spans="1:16" x14ac:dyDescent="0.3">
      <c r="A148" t="s">
        <v>986</v>
      </c>
      <c r="B148" s="1">
        <v>46112</v>
      </c>
      <c r="C148" t="s">
        <v>244</v>
      </c>
      <c r="D148" t="s">
        <v>82</v>
      </c>
      <c r="E148" t="s">
        <v>83</v>
      </c>
      <c r="F148" t="s">
        <v>52</v>
      </c>
      <c r="G148" t="s">
        <v>76</v>
      </c>
      <c r="H148" t="s">
        <v>77</v>
      </c>
      <c r="I148" t="s">
        <v>171</v>
      </c>
      <c r="J148" s="2">
        <v>1520</v>
      </c>
      <c r="K148">
        <v>1</v>
      </c>
      <c r="L148" s="2">
        <v>0.05</v>
      </c>
      <c r="M148" s="2">
        <v>379.09</v>
      </c>
      <c r="N148" t="s">
        <v>24</v>
      </c>
      <c r="O148" t="s">
        <v>108</v>
      </c>
      <c r="P148" t="s">
        <v>55</v>
      </c>
    </row>
    <row r="149" spans="1:16" x14ac:dyDescent="0.3">
      <c r="A149" t="s">
        <v>355</v>
      </c>
      <c r="B149" s="1">
        <v>45759</v>
      </c>
      <c r="C149" t="s">
        <v>356</v>
      </c>
      <c r="D149" t="s">
        <v>96</v>
      </c>
      <c r="E149" t="s">
        <v>97</v>
      </c>
      <c r="F149" t="s">
        <v>20</v>
      </c>
      <c r="G149" t="s">
        <v>42</v>
      </c>
      <c r="H149" t="s">
        <v>279</v>
      </c>
      <c r="I149" t="s">
        <v>280</v>
      </c>
      <c r="J149" s="2">
        <v>59375</v>
      </c>
      <c r="K149">
        <v>5</v>
      </c>
      <c r="L149" s="2">
        <v>0.05</v>
      </c>
      <c r="M149" s="2">
        <v>7311.59</v>
      </c>
      <c r="N149" t="s">
        <v>35</v>
      </c>
      <c r="O149" t="s">
        <v>71</v>
      </c>
      <c r="P149" t="s">
        <v>47</v>
      </c>
    </row>
    <row r="150" spans="1:16" x14ac:dyDescent="0.3">
      <c r="A150" t="s">
        <v>112</v>
      </c>
      <c r="B150" s="1">
        <v>45669</v>
      </c>
      <c r="C150" t="s">
        <v>113</v>
      </c>
      <c r="D150" t="s">
        <v>91</v>
      </c>
      <c r="E150" t="s">
        <v>91</v>
      </c>
      <c r="F150" t="s">
        <v>60</v>
      </c>
      <c r="G150" t="s">
        <v>32</v>
      </c>
      <c r="H150" t="s">
        <v>92</v>
      </c>
      <c r="I150" t="s">
        <v>93</v>
      </c>
      <c r="J150" s="2">
        <v>20700</v>
      </c>
      <c r="K150">
        <v>2</v>
      </c>
      <c r="L150" s="2">
        <v>0.1</v>
      </c>
      <c r="M150" s="2">
        <v>1588.02</v>
      </c>
      <c r="N150" t="s">
        <v>114</v>
      </c>
      <c r="O150" t="s">
        <v>65</v>
      </c>
      <c r="P150" t="s">
        <v>55</v>
      </c>
    </row>
    <row r="151" spans="1:16" x14ac:dyDescent="0.3">
      <c r="A151" t="s">
        <v>916</v>
      </c>
      <c r="B151" s="1">
        <v>46064</v>
      </c>
      <c r="C151" t="s">
        <v>276</v>
      </c>
      <c r="D151" t="s">
        <v>50</v>
      </c>
      <c r="E151" t="s">
        <v>51</v>
      </c>
      <c r="F151" t="s">
        <v>52</v>
      </c>
      <c r="G151" t="s">
        <v>42</v>
      </c>
      <c r="H151" t="s">
        <v>53</v>
      </c>
      <c r="I151" t="s">
        <v>54</v>
      </c>
      <c r="J151" s="2">
        <v>9720</v>
      </c>
      <c r="K151">
        <v>6</v>
      </c>
      <c r="L151" s="2">
        <v>0.1</v>
      </c>
      <c r="M151" s="2">
        <v>2584.77</v>
      </c>
      <c r="N151" t="s">
        <v>114</v>
      </c>
      <c r="O151" t="s">
        <v>36</v>
      </c>
      <c r="P151" t="s">
        <v>55</v>
      </c>
    </row>
    <row r="152" spans="1:16" x14ac:dyDescent="0.3">
      <c r="A152" t="s">
        <v>847</v>
      </c>
      <c r="B152" s="1">
        <v>46030</v>
      </c>
      <c r="C152" t="s">
        <v>848</v>
      </c>
      <c r="D152" t="s">
        <v>74</v>
      </c>
      <c r="E152" t="s">
        <v>75</v>
      </c>
      <c r="F152" t="s">
        <v>20</v>
      </c>
      <c r="G152" t="s">
        <v>61</v>
      </c>
      <c r="H152" t="s">
        <v>62</v>
      </c>
      <c r="I152" t="s">
        <v>63</v>
      </c>
      <c r="J152" s="2">
        <v>4275</v>
      </c>
      <c r="K152">
        <v>5</v>
      </c>
      <c r="L152" s="2">
        <v>0.05</v>
      </c>
      <c r="M152" s="2">
        <v>407.64</v>
      </c>
      <c r="N152" t="s">
        <v>45</v>
      </c>
      <c r="O152" t="s">
        <v>135</v>
      </c>
      <c r="P152" t="s">
        <v>47</v>
      </c>
    </row>
    <row r="153" spans="1:16" x14ac:dyDescent="0.3">
      <c r="A153" t="s">
        <v>669</v>
      </c>
      <c r="B153" s="1">
        <v>45920</v>
      </c>
      <c r="C153" t="s">
        <v>170</v>
      </c>
      <c r="D153" t="s">
        <v>134</v>
      </c>
      <c r="E153" t="s">
        <v>75</v>
      </c>
      <c r="F153" t="s">
        <v>20</v>
      </c>
      <c r="G153" t="s">
        <v>42</v>
      </c>
      <c r="H153" t="s">
        <v>53</v>
      </c>
      <c r="I153" t="s">
        <v>54</v>
      </c>
      <c r="J153" s="2">
        <v>1440</v>
      </c>
      <c r="K153">
        <v>1</v>
      </c>
      <c r="L153" s="2">
        <v>0.2</v>
      </c>
      <c r="M153" s="2">
        <v>322.83</v>
      </c>
      <c r="N153" t="s">
        <v>114</v>
      </c>
      <c r="O153" t="s">
        <v>46</v>
      </c>
      <c r="P153" t="s">
        <v>55</v>
      </c>
    </row>
    <row r="154" spans="1:16" x14ac:dyDescent="0.3">
      <c r="A154" t="s">
        <v>876</v>
      </c>
      <c r="B154" s="1">
        <v>46042</v>
      </c>
      <c r="C154" t="s">
        <v>294</v>
      </c>
      <c r="D154" t="s">
        <v>18</v>
      </c>
      <c r="E154" t="s">
        <v>19</v>
      </c>
      <c r="F154" t="s">
        <v>20</v>
      </c>
      <c r="G154" t="s">
        <v>42</v>
      </c>
      <c r="H154" t="s">
        <v>53</v>
      </c>
      <c r="I154" t="s">
        <v>120</v>
      </c>
      <c r="J154" s="2">
        <v>7140</v>
      </c>
      <c r="K154">
        <v>2</v>
      </c>
      <c r="L154" s="2">
        <v>0.15</v>
      </c>
      <c r="M154" s="2">
        <v>1114.55</v>
      </c>
      <c r="N154" t="s">
        <v>114</v>
      </c>
      <c r="O154" t="s">
        <v>108</v>
      </c>
      <c r="P154" t="s">
        <v>55</v>
      </c>
    </row>
    <row r="155" spans="1:16" x14ac:dyDescent="0.3">
      <c r="A155" t="s">
        <v>106</v>
      </c>
      <c r="B155" s="1">
        <v>45667</v>
      </c>
      <c r="C155" t="s">
        <v>107</v>
      </c>
      <c r="D155" t="s">
        <v>50</v>
      </c>
      <c r="E155" t="s">
        <v>51</v>
      </c>
      <c r="F155" t="s">
        <v>52</v>
      </c>
      <c r="G155" t="s">
        <v>61</v>
      </c>
      <c r="H155" t="s">
        <v>62</v>
      </c>
      <c r="I155" t="s">
        <v>70</v>
      </c>
      <c r="J155" s="2">
        <v>9720</v>
      </c>
      <c r="K155">
        <v>6</v>
      </c>
      <c r="L155" s="2">
        <v>0.1</v>
      </c>
      <c r="M155" s="2">
        <v>1805.69</v>
      </c>
      <c r="N155" t="s">
        <v>64</v>
      </c>
      <c r="O155" t="s">
        <v>108</v>
      </c>
      <c r="P155" t="s">
        <v>55</v>
      </c>
    </row>
    <row r="156" spans="1:16" x14ac:dyDescent="0.3">
      <c r="A156" t="s">
        <v>1327</v>
      </c>
      <c r="B156" s="1">
        <v>46333</v>
      </c>
      <c r="C156" t="s">
        <v>387</v>
      </c>
      <c r="D156" t="s">
        <v>104</v>
      </c>
      <c r="E156" t="s">
        <v>83</v>
      </c>
      <c r="F156" t="s">
        <v>52</v>
      </c>
      <c r="G156" t="s">
        <v>32</v>
      </c>
      <c r="H156" t="s">
        <v>84</v>
      </c>
      <c r="I156" t="s">
        <v>85</v>
      </c>
      <c r="J156" s="2">
        <v>31875</v>
      </c>
      <c r="K156">
        <v>3</v>
      </c>
      <c r="L156" s="2">
        <v>0.15</v>
      </c>
      <c r="M156" s="2">
        <v>6204.21</v>
      </c>
      <c r="N156" t="s">
        <v>35</v>
      </c>
      <c r="O156" t="s">
        <v>105</v>
      </c>
      <c r="P156" t="s">
        <v>55</v>
      </c>
    </row>
    <row r="157" spans="1:16" x14ac:dyDescent="0.3">
      <c r="A157" t="s">
        <v>1292</v>
      </c>
      <c r="B157" s="1">
        <v>46312</v>
      </c>
      <c r="C157" t="s">
        <v>1293</v>
      </c>
      <c r="D157" t="s">
        <v>119</v>
      </c>
      <c r="E157" t="s">
        <v>75</v>
      </c>
      <c r="F157" t="s">
        <v>20</v>
      </c>
      <c r="G157" t="s">
        <v>42</v>
      </c>
      <c r="H157" t="s">
        <v>53</v>
      </c>
      <c r="I157" t="s">
        <v>54</v>
      </c>
      <c r="J157" s="2">
        <v>1710</v>
      </c>
      <c r="K157">
        <v>1</v>
      </c>
      <c r="L157" s="2">
        <v>0.05</v>
      </c>
      <c r="M157" s="2">
        <v>165.06</v>
      </c>
      <c r="N157" t="s">
        <v>45</v>
      </c>
      <c r="O157" t="s">
        <v>108</v>
      </c>
      <c r="P157" t="s">
        <v>26</v>
      </c>
    </row>
    <row r="158" spans="1:16" x14ac:dyDescent="0.3">
      <c r="A158" t="s">
        <v>1299</v>
      </c>
      <c r="B158" s="1">
        <v>46315</v>
      </c>
      <c r="C158" t="s">
        <v>620</v>
      </c>
      <c r="D158" t="s">
        <v>173</v>
      </c>
      <c r="E158" t="s">
        <v>174</v>
      </c>
      <c r="F158" t="s">
        <v>60</v>
      </c>
      <c r="G158" t="s">
        <v>21</v>
      </c>
      <c r="H158" t="s">
        <v>22</v>
      </c>
      <c r="I158" t="s">
        <v>23</v>
      </c>
      <c r="J158" s="2">
        <v>2700</v>
      </c>
      <c r="K158">
        <v>6</v>
      </c>
      <c r="L158" s="2">
        <v>0</v>
      </c>
      <c r="M158" s="2">
        <v>364.25</v>
      </c>
      <c r="N158" t="s">
        <v>114</v>
      </c>
      <c r="O158" t="s">
        <v>46</v>
      </c>
      <c r="P158" t="s">
        <v>26</v>
      </c>
    </row>
    <row r="159" spans="1:16" x14ac:dyDescent="0.3">
      <c r="A159" t="s">
        <v>491</v>
      </c>
      <c r="B159" s="1">
        <v>45824</v>
      </c>
      <c r="C159" t="s">
        <v>492</v>
      </c>
      <c r="D159" t="s">
        <v>119</v>
      </c>
      <c r="E159" t="s">
        <v>75</v>
      </c>
      <c r="F159" t="s">
        <v>20</v>
      </c>
      <c r="G159" t="s">
        <v>61</v>
      </c>
      <c r="H159" t="s">
        <v>98</v>
      </c>
      <c r="I159" t="s">
        <v>99</v>
      </c>
      <c r="J159" s="2">
        <v>180000</v>
      </c>
      <c r="K159">
        <v>6</v>
      </c>
      <c r="L159" s="2">
        <v>0</v>
      </c>
      <c r="M159" s="2">
        <v>40476.199999999997</v>
      </c>
      <c r="N159" t="s">
        <v>24</v>
      </c>
      <c r="O159" t="s">
        <v>86</v>
      </c>
      <c r="P159" t="s">
        <v>26</v>
      </c>
    </row>
    <row r="160" spans="1:16" x14ac:dyDescent="0.3">
      <c r="A160" t="s">
        <v>1166</v>
      </c>
      <c r="B160" s="1">
        <v>46218</v>
      </c>
      <c r="C160" t="s">
        <v>347</v>
      </c>
      <c r="D160" t="s">
        <v>119</v>
      </c>
      <c r="E160" t="s">
        <v>75</v>
      </c>
      <c r="F160" t="s">
        <v>20</v>
      </c>
      <c r="G160" t="s">
        <v>21</v>
      </c>
      <c r="H160" t="s">
        <v>22</v>
      </c>
      <c r="I160" t="s">
        <v>23</v>
      </c>
      <c r="J160" s="2">
        <v>427.5</v>
      </c>
      <c r="K160">
        <v>1</v>
      </c>
      <c r="L160" s="2">
        <v>0.05</v>
      </c>
      <c r="M160" s="2">
        <v>63.34</v>
      </c>
      <c r="N160" t="s">
        <v>114</v>
      </c>
      <c r="O160" t="s">
        <v>105</v>
      </c>
      <c r="P160" t="s">
        <v>47</v>
      </c>
    </row>
    <row r="161" spans="1:16" x14ac:dyDescent="0.3">
      <c r="A161" t="s">
        <v>1387</v>
      </c>
      <c r="B161" s="1">
        <v>46384</v>
      </c>
      <c r="C161" t="s">
        <v>221</v>
      </c>
      <c r="D161" t="s">
        <v>18</v>
      </c>
      <c r="E161" t="s">
        <v>19</v>
      </c>
      <c r="F161" t="s">
        <v>20</v>
      </c>
      <c r="G161" t="s">
        <v>21</v>
      </c>
      <c r="H161" t="s">
        <v>22</v>
      </c>
      <c r="I161" t="s">
        <v>111</v>
      </c>
      <c r="J161" s="2">
        <v>1140</v>
      </c>
      <c r="K161">
        <v>4</v>
      </c>
      <c r="L161" s="2">
        <v>0.05</v>
      </c>
      <c r="M161" s="2">
        <v>160.46</v>
      </c>
      <c r="N161" t="s">
        <v>64</v>
      </c>
      <c r="O161" t="s">
        <v>135</v>
      </c>
      <c r="P161" t="s">
        <v>47</v>
      </c>
    </row>
    <row r="162" spans="1:16" x14ac:dyDescent="0.3">
      <c r="A162" t="s">
        <v>721</v>
      </c>
      <c r="B162" s="1">
        <v>45944</v>
      </c>
      <c r="C162" t="s">
        <v>260</v>
      </c>
      <c r="D162" t="s">
        <v>152</v>
      </c>
      <c r="E162" t="s">
        <v>153</v>
      </c>
      <c r="F162" t="s">
        <v>20</v>
      </c>
      <c r="G162" t="s">
        <v>21</v>
      </c>
      <c r="H162" t="s">
        <v>175</v>
      </c>
      <c r="I162" t="s">
        <v>176</v>
      </c>
      <c r="J162" s="2">
        <v>3510</v>
      </c>
      <c r="K162">
        <v>6</v>
      </c>
      <c r="L162" s="2">
        <v>0.1</v>
      </c>
      <c r="M162" s="2">
        <v>929.35</v>
      </c>
      <c r="N162" t="s">
        <v>35</v>
      </c>
      <c r="O162" t="s">
        <v>36</v>
      </c>
      <c r="P162" t="s">
        <v>55</v>
      </c>
    </row>
    <row r="163" spans="1:16" x14ac:dyDescent="0.3">
      <c r="A163" t="s">
        <v>1247</v>
      </c>
      <c r="B163" s="1">
        <v>46284</v>
      </c>
      <c r="C163" t="s">
        <v>1043</v>
      </c>
      <c r="D163" t="s">
        <v>29</v>
      </c>
      <c r="E163" t="s">
        <v>30</v>
      </c>
      <c r="F163" t="s">
        <v>31</v>
      </c>
      <c r="G163" t="s">
        <v>61</v>
      </c>
      <c r="H163" t="s">
        <v>98</v>
      </c>
      <c r="I163" t="s">
        <v>99</v>
      </c>
      <c r="J163" s="2">
        <v>108000</v>
      </c>
      <c r="K163">
        <v>4</v>
      </c>
      <c r="L163" s="2">
        <v>0.1</v>
      </c>
      <c r="M163" s="2">
        <v>16233.15</v>
      </c>
      <c r="N163" t="s">
        <v>114</v>
      </c>
      <c r="O163" t="s">
        <v>65</v>
      </c>
      <c r="P163" t="s">
        <v>26</v>
      </c>
    </row>
    <row r="164" spans="1:16" x14ac:dyDescent="0.3">
      <c r="A164" t="s">
        <v>994</v>
      </c>
      <c r="B164" s="1">
        <v>46117</v>
      </c>
      <c r="C164" t="s">
        <v>197</v>
      </c>
      <c r="D164" t="s">
        <v>91</v>
      </c>
      <c r="E164" t="s">
        <v>91</v>
      </c>
      <c r="F164" t="s">
        <v>60</v>
      </c>
      <c r="G164" t="s">
        <v>42</v>
      </c>
      <c r="H164" t="s">
        <v>279</v>
      </c>
      <c r="I164" t="s">
        <v>280</v>
      </c>
      <c r="J164" s="2">
        <v>71250</v>
      </c>
      <c r="K164">
        <v>6</v>
      </c>
      <c r="L164" s="2">
        <v>0.05</v>
      </c>
      <c r="M164" s="2">
        <v>16441.43</v>
      </c>
      <c r="N164" t="s">
        <v>35</v>
      </c>
      <c r="O164" t="s">
        <v>65</v>
      </c>
      <c r="P164" t="s">
        <v>26</v>
      </c>
    </row>
    <row r="165" spans="1:16" x14ac:dyDescent="0.3">
      <c r="A165" t="s">
        <v>511</v>
      </c>
      <c r="B165" s="1">
        <v>45837</v>
      </c>
      <c r="C165" t="s">
        <v>414</v>
      </c>
      <c r="D165" t="s">
        <v>152</v>
      </c>
      <c r="E165" t="s">
        <v>153</v>
      </c>
      <c r="F165" t="s">
        <v>20</v>
      </c>
      <c r="G165" t="s">
        <v>61</v>
      </c>
      <c r="H165" t="s">
        <v>128</v>
      </c>
      <c r="I165" t="s">
        <v>195</v>
      </c>
      <c r="J165" s="2">
        <v>58000</v>
      </c>
      <c r="K165">
        <v>1</v>
      </c>
      <c r="L165" s="2">
        <v>0</v>
      </c>
      <c r="M165" s="2">
        <v>15508.71</v>
      </c>
      <c r="N165" t="s">
        <v>45</v>
      </c>
      <c r="O165" t="s">
        <v>79</v>
      </c>
      <c r="P165" t="s">
        <v>55</v>
      </c>
    </row>
    <row r="166" spans="1:16" x14ac:dyDescent="0.3">
      <c r="A166" t="s">
        <v>1208</v>
      </c>
      <c r="B166" s="1">
        <v>46251</v>
      </c>
      <c r="C166" t="s">
        <v>1209</v>
      </c>
      <c r="D166" t="s">
        <v>96</v>
      </c>
      <c r="E166" t="s">
        <v>97</v>
      </c>
      <c r="F166" t="s">
        <v>20</v>
      </c>
      <c r="G166" t="s">
        <v>76</v>
      </c>
      <c r="H166" t="s">
        <v>77</v>
      </c>
      <c r="I166" t="s">
        <v>171</v>
      </c>
      <c r="J166" s="2">
        <v>6080</v>
      </c>
      <c r="K166">
        <v>4</v>
      </c>
      <c r="L166" s="2">
        <v>0.05</v>
      </c>
      <c r="M166" s="2">
        <v>1599.27</v>
      </c>
      <c r="N166" t="s">
        <v>35</v>
      </c>
      <c r="O166" t="s">
        <v>79</v>
      </c>
      <c r="P166" t="s">
        <v>55</v>
      </c>
    </row>
    <row r="167" spans="1:16" x14ac:dyDescent="0.3">
      <c r="A167" t="s">
        <v>1001</v>
      </c>
      <c r="B167" s="1">
        <v>46123</v>
      </c>
      <c r="C167" t="s">
        <v>914</v>
      </c>
      <c r="D167" t="s">
        <v>29</v>
      </c>
      <c r="E167" t="s">
        <v>30</v>
      </c>
      <c r="F167" t="s">
        <v>31</v>
      </c>
      <c r="G167" t="s">
        <v>61</v>
      </c>
      <c r="H167" t="s">
        <v>62</v>
      </c>
      <c r="I167" t="s">
        <v>70</v>
      </c>
      <c r="J167" s="2">
        <v>1710</v>
      </c>
      <c r="K167">
        <v>1</v>
      </c>
      <c r="L167" s="2">
        <v>0.05</v>
      </c>
      <c r="M167" s="2">
        <v>139.04</v>
      </c>
      <c r="N167" t="s">
        <v>35</v>
      </c>
      <c r="O167" t="s">
        <v>108</v>
      </c>
      <c r="P167" t="s">
        <v>26</v>
      </c>
    </row>
    <row r="168" spans="1:16" x14ac:dyDescent="0.3">
      <c r="A168" t="s">
        <v>635</v>
      </c>
      <c r="B168" s="1">
        <v>45895</v>
      </c>
      <c r="C168" t="s">
        <v>238</v>
      </c>
      <c r="D168" t="s">
        <v>166</v>
      </c>
      <c r="E168" t="s">
        <v>75</v>
      </c>
      <c r="F168" t="s">
        <v>20</v>
      </c>
      <c r="G168" t="s">
        <v>61</v>
      </c>
      <c r="H168" t="s">
        <v>62</v>
      </c>
      <c r="I168" t="s">
        <v>70</v>
      </c>
      <c r="J168" s="2">
        <v>1530</v>
      </c>
      <c r="K168">
        <v>1</v>
      </c>
      <c r="L168" s="2">
        <v>0.15</v>
      </c>
      <c r="M168" s="2">
        <v>246.05</v>
      </c>
      <c r="N168" t="s">
        <v>45</v>
      </c>
      <c r="O168" t="s">
        <v>36</v>
      </c>
      <c r="P168" t="s">
        <v>47</v>
      </c>
    </row>
    <row r="169" spans="1:16" x14ac:dyDescent="0.3">
      <c r="A169" t="s">
        <v>109</v>
      </c>
      <c r="B169" s="1">
        <v>45669</v>
      </c>
      <c r="C169" t="s">
        <v>110</v>
      </c>
      <c r="D169" t="s">
        <v>91</v>
      </c>
      <c r="E169" t="s">
        <v>91</v>
      </c>
      <c r="F169" t="s">
        <v>60</v>
      </c>
      <c r="G169" t="s">
        <v>21</v>
      </c>
      <c r="H169" t="s">
        <v>22</v>
      </c>
      <c r="I169" t="s">
        <v>111</v>
      </c>
      <c r="J169" s="2">
        <v>1500</v>
      </c>
      <c r="K169">
        <v>5</v>
      </c>
      <c r="L169" s="2">
        <v>0</v>
      </c>
      <c r="M169" s="2">
        <v>160.55000000000001</v>
      </c>
      <c r="N169" t="s">
        <v>24</v>
      </c>
      <c r="O169" t="s">
        <v>71</v>
      </c>
      <c r="P169" t="s">
        <v>26</v>
      </c>
    </row>
    <row r="170" spans="1:16" x14ac:dyDescent="0.3">
      <c r="A170" t="s">
        <v>720</v>
      </c>
      <c r="B170" s="1">
        <v>45944</v>
      </c>
      <c r="C170" t="s">
        <v>249</v>
      </c>
      <c r="D170" t="s">
        <v>68</v>
      </c>
      <c r="E170" t="s">
        <v>69</v>
      </c>
      <c r="F170" t="s">
        <v>41</v>
      </c>
      <c r="G170" t="s">
        <v>76</v>
      </c>
      <c r="H170" t="s">
        <v>122</v>
      </c>
      <c r="I170" t="s">
        <v>123</v>
      </c>
      <c r="J170" s="2">
        <v>11000</v>
      </c>
      <c r="K170">
        <v>5</v>
      </c>
      <c r="L170" s="2">
        <v>0</v>
      </c>
      <c r="M170" s="2">
        <v>2205.62</v>
      </c>
      <c r="N170" t="s">
        <v>45</v>
      </c>
      <c r="O170" t="s">
        <v>71</v>
      </c>
      <c r="P170" t="s">
        <v>47</v>
      </c>
    </row>
    <row r="171" spans="1:16" x14ac:dyDescent="0.3">
      <c r="A171" t="s">
        <v>298</v>
      </c>
      <c r="B171" s="1">
        <v>45740</v>
      </c>
      <c r="C171" t="s">
        <v>299</v>
      </c>
      <c r="D171" t="s">
        <v>91</v>
      </c>
      <c r="E171" t="s">
        <v>91</v>
      </c>
      <c r="F171" t="s">
        <v>60</v>
      </c>
      <c r="G171" t="s">
        <v>61</v>
      </c>
      <c r="H171" t="s">
        <v>98</v>
      </c>
      <c r="I171" t="s">
        <v>156</v>
      </c>
      <c r="J171" s="2">
        <v>76000</v>
      </c>
      <c r="K171">
        <v>2</v>
      </c>
      <c r="L171" s="2">
        <v>0</v>
      </c>
      <c r="M171" s="2">
        <v>16644.54</v>
      </c>
      <c r="N171" t="s">
        <v>114</v>
      </c>
      <c r="O171" t="s">
        <v>36</v>
      </c>
      <c r="P171" t="s">
        <v>47</v>
      </c>
    </row>
    <row r="172" spans="1:16" x14ac:dyDescent="0.3">
      <c r="A172" t="s">
        <v>824</v>
      </c>
      <c r="B172" s="1">
        <v>46016</v>
      </c>
      <c r="C172" t="s">
        <v>702</v>
      </c>
      <c r="D172" t="s">
        <v>173</v>
      </c>
      <c r="E172" t="s">
        <v>174</v>
      </c>
      <c r="F172" t="s">
        <v>60</v>
      </c>
      <c r="G172" t="s">
        <v>61</v>
      </c>
      <c r="H172" t="s">
        <v>98</v>
      </c>
      <c r="I172" t="s">
        <v>99</v>
      </c>
      <c r="J172" s="2">
        <v>27000</v>
      </c>
      <c r="K172">
        <v>1</v>
      </c>
      <c r="L172" s="2">
        <v>0.1</v>
      </c>
      <c r="M172" s="2">
        <v>7187.39</v>
      </c>
      <c r="N172" t="s">
        <v>24</v>
      </c>
      <c r="O172" t="s">
        <v>65</v>
      </c>
      <c r="P172" t="s">
        <v>47</v>
      </c>
    </row>
    <row r="173" spans="1:16" x14ac:dyDescent="0.3">
      <c r="A173" t="s">
        <v>478</v>
      </c>
      <c r="B173" s="1">
        <v>45812</v>
      </c>
      <c r="C173" t="s">
        <v>322</v>
      </c>
      <c r="D173" t="s">
        <v>152</v>
      </c>
      <c r="E173" t="s">
        <v>153</v>
      </c>
      <c r="F173" t="s">
        <v>20</v>
      </c>
      <c r="G173" t="s">
        <v>42</v>
      </c>
      <c r="H173" t="s">
        <v>53</v>
      </c>
      <c r="I173" t="s">
        <v>120</v>
      </c>
      <c r="J173" s="2">
        <v>15960</v>
      </c>
      <c r="K173">
        <v>4</v>
      </c>
      <c r="L173" s="2">
        <v>0.05</v>
      </c>
      <c r="M173" s="2">
        <v>3296.44</v>
      </c>
      <c r="N173" t="s">
        <v>114</v>
      </c>
      <c r="O173" t="s">
        <v>79</v>
      </c>
      <c r="P173" t="s">
        <v>26</v>
      </c>
    </row>
    <row r="174" spans="1:16" x14ac:dyDescent="0.3">
      <c r="A174" t="s">
        <v>1009</v>
      </c>
      <c r="B174" s="1">
        <v>46128</v>
      </c>
      <c r="C174" t="s">
        <v>162</v>
      </c>
      <c r="D174" t="s">
        <v>173</v>
      </c>
      <c r="E174" t="s">
        <v>174</v>
      </c>
      <c r="F174" t="s">
        <v>60</v>
      </c>
      <c r="G174" t="s">
        <v>61</v>
      </c>
      <c r="H174" t="s">
        <v>62</v>
      </c>
      <c r="I174" t="s">
        <v>70</v>
      </c>
      <c r="J174" s="2">
        <v>5130</v>
      </c>
      <c r="K174">
        <v>3</v>
      </c>
      <c r="L174" s="2">
        <v>0.05</v>
      </c>
      <c r="M174" s="2">
        <v>1193.53</v>
      </c>
      <c r="N174" t="s">
        <v>64</v>
      </c>
      <c r="O174" t="s">
        <v>105</v>
      </c>
      <c r="P174" t="s">
        <v>47</v>
      </c>
    </row>
    <row r="175" spans="1:16" x14ac:dyDescent="0.3">
      <c r="A175" t="s">
        <v>1065</v>
      </c>
      <c r="B175" s="1">
        <v>46154</v>
      </c>
      <c r="C175" t="s">
        <v>133</v>
      </c>
      <c r="D175" t="s">
        <v>166</v>
      </c>
      <c r="E175" t="s">
        <v>75</v>
      </c>
      <c r="F175" t="s">
        <v>20</v>
      </c>
      <c r="G175" t="s">
        <v>21</v>
      </c>
      <c r="H175" t="s">
        <v>22</v>
      </c>
      <c r="I175" t="s">
        <v>23</v>
      </c>
      <c r="J175" s="2">
        <v>900</v>
      </c>
      <c r="K175">
        <v>2</v>
      </c>
      <c r="L175" s="2">
        <v>0</v>
      </c>
      <c r="M175" s="2">
        <v>79.67</v>
      </c>
      <c r="N175" t="s">
        <v>114</v>
      </c>
      <c r="O175" t="s">
        <v>65</v>
      </c>
      <c r="P175" t="s">
        <v>55</v>
      </c>
    </row>
    <row r="176" spans="1:16" x14ac:dyDescent="0.3">
      <c r="A176" t="s">
        <v>956</v>
      </c>
      <c r="B176" s="1">
        <v>46093</v>
      </c>
      <c r="C176" t="s">
        <v>957</v>
      </c>
      <c r="D176" t="s">
        <v>104</v>
      </c>
      <c r="E176" t="s">
        <v>83</v>
      </c>
      <c r="F176" t="s">
        <v>52</v>
      </c>
      <c r="G176" t="s">
        <v>21</v>
      </c>
      <c r="H176" t="s">
        <v>175</v>
      </c>
      <c r="I176" t="s">
        <v>176</v>
      </c>
      <c r="J176" s="2">
        <v>1235</v>
      </c>
      <c r="K176">
        <v>2</v>
      </c>
      <c r="L176" s="2">
        <v>0.05</v>
      </c>
      <c r="M176" s="2">
        <v>274.89999999999998</v>
      </c>
      <c r="N176" t="s">
        <v>114</v>
      </c>
      <c r="O176" t="s">
        <v>108</v>
      </c>
      <c r="P176" t="s">
        <v>26</v>
      </c>
    </row>
    <row r="177" spans="1:16" x14ac:dyDescent="0.3">
      <c r="A177" t="s">
        <v>343</v>
      </c>
      <c r="B177" s="1">
        <v>45754</v>
      </c>
      <c r="C177" t="s">
        <v>344</v>
      </c>
      <c r="D177" t="s">
        <v>119</v>
      </c>
      <c r="E177" t="s">
        <v>75</v>
      </c>
      <c r="F177" t="s">
        <v>20</v>
      </c>
      <c r="G177" t="s">
        <v>76</v>
      </c>
      <c r="H177" t="s">
        <v>77</v>
      </c>
      <c r="I177" t="s">
        <v>171</v>
      </c>
      <c r="J177" s="2">
        <v>1360</v>
      </c>
      <c r="K177">
        <v>1</v>
      </c>
      <c r="L177" s="2">
        <v>0.15</v>
      </c>
      <c r="M177" s="2">
        <v>317.06</v>
      </c>
      <c r="N177" t="s">
        <v>35</v>
      </c>
      <c r="O177" t="s">
        <v>86</v>
      </c>
      <c r="P177" t="s">
        <v>26</v>
      </c>
    </row>
    <row r="178" spans="1:16" x14ac:dyDescent="0.3">
      <c r="A178" t="s">
        <v>497</v>
      </c>
      <c r="B178" s="1">
        <v>45830</v>
      </c>
      <c r="C178" t="s">
        <v>249</v>
      </c>
      <c r="D178" t="s">
        <v>68</v>
      </c>
      <c r="E178" t="s">
        <v>69</v>
      </c>
      <c r="F178" t="s">
        <v>41</v>
      </c>
      <c r="G178" t="s">
        <v>21</v>
      </c>
      <c r="H178" t="s">
        <v>22</v>
      </c>
      <c r="I178" t="s">
        <v>111</v>
      </c>
      <c r="J178" s="2">
        <v>810</v>
      </c>
      <c r="K178">
        <v>3</v>
      </c>
      <c r="L178" s="2">
        <v>0.1</v>
      </c>
      <c r="M178" s="2">
        <v>90.31</v>
      </c>
      <c r="N178" t="s">
        <v>24</v>
      </c>
      <c r="O178" t="s">
        <v>25</v>
      </c>
      <c r="P178" t="s">
        <v>55</v>
      </c>
    </row>
    <row r="179" spans="1:16" x14ac:dyDescent="0.3">
      <c r="A179" t="s">
        <v>126</v>
      </c>
      <c r="B179" s="1">
        <v>45674</v>
      </c>
      <c r="C179" t="s">
        <v>127</v>
      </c>
      <c r="D179" t="s">
        <v>104</v>
      </c>
      <c r="E179" t="s">
        <v>83</v>
      </c>
      <c r="F179" t="s">
        <v>52</v>
      </c>
      <c r="G179" t="s">
        <v>61</v>
      </c>
      <c r="H179" t="s">
        <v>128</v>
      </c>
      <c r="I179" t="s">
        <v>129</v>
      </c>
      <c r="J179" s="2">
        <v>140400</v>
      </c>
      <c r="K179">
        <v>3</v>
      </c>
      <c r="L179" s="2">
        <v>0.1</v>
      </c>
      <c r="M179" s="2">
        <v>32905.89</v>
      </c>
      <c r="N179" t="s">
        <v>114</v>
      </c>
      <c r="O179" t="s">
        <v>86</v>
      </c>
      <c r="P179" t="s">
        <v>47</v>
      </c>
    </row>
    <row r="180" spans="1:16" x14ac:dyDescent="0.3">
      <c r="A180" t="s">
        <v>1054</v>
      </c>
      <c r="B180" s="1">
        <v>46148</v>
      </c>
      <c r="C180" t="s">
        <v>423</v>
      </c>
      <c r="D180" t="s">
        <v>96</v>
      </c>
      <c r="E180" t="s">
        <v>97</v>
      </c>
      <c r="F180" t="s">
        <v>20</v>
      </c>
      <c r="G180" t="s">
        <v>32</v>
      </c>
      <c r="H180" t="s">
        <v>33</v>
      </c>
      <c r="I180" t="s">
        <v>34</v>
      </c>
      <c r="J180" s="2">
        <v>21080</v>
      </c>
      <c r="K180">
        <v>4</v>
      </c>
      <c r="L180" s="2">
        <v>0.15</v>
      </c>
      <c r="M180" s="2">
        <v>4258.08</v>
      </c>
      <c r="N180" t="s">
        <v>35</v>
      </c>
      <c r="O180" t="s">
        <v>79</v>
      </c>
      <c r="P180" t="s">
        <v>55</v>
      </c>
    </row>
    <row r="181" spans="1:16" x14ac:dyDescent="0.3">
      <c r="A181" t="s">
        <v>872</v>
      </c>
      <c r="B181" s="1">
        <v>46039</v>
      </c>
      <c r="C181" t="s">
        <v>769</v>
      </c>
      <c r="D181" t="s">
        <v>29</v>
      </c>
      <c r="E181" t="s">
        <v>30</v>
      </c>
      <c r="F181" t="s">
        <v>31</v>
      </c>
      <c r="G181" t="s">
        <v>21</v>
      </c>
      <c r="H181" t="s">
        <v>22</v>
      </c>
      <c r="I181" t="s">
        <v>23</v>
      </c>
      <c r="J181" s="2">
        <v>360</v>
      </c>
      <c r="K181">
        <v>1</v>
      </c>
      <c r="L181" s="2">
        <v>0.2</v>
      </c>
      <c r="M181" s="2">
        <v>73.17</v>
      </c>
      <c r="N181" t="s">
        <v>64</v>
      </c>
      <c r="O181" t="s">
        <v>36</v>
      </c>
      <c r="P181" t="s">
        <v>26</v>
      </c>
    </row>
    <row r="182" spans="1:16" x14ac:dyDescent="0.3">
      <c r="A182" t="s">
        <v>852</v>
      </c>
      <c r="B182" s="1">
        <v>46031</v>
      </c>
      <c r="C182" t="s">
        <v>853</v>
      </c>
      <c r="D182" t="s">
        <v>58</v>
      </c>
      <c r="E182" t="s">
        <v>59</v>
      </c>
      <c r="F182" t="s">
        <v>60</v>
      </c>
      <c r="G182" t="s">
        <v>21</v>
      </c>
      <c r="H182" t="s">
        <v>179</v>
      </c>
      <c r="I182" t="s">
        <v>180</v>
      </c>
      <c r="J182" s="2">
        <v>4560</v>
      </c>
      <c r="K182">
        <v>2</v>
      </c>
      <c r="L182" s="2">
        <v>0.05</v>
      </c>
      <c r="M182" s="2">
        <v>456.8</v>
      </c>
      <c r="N182" t="s">
        <v>24</v>
      </c>
      <c r="O182" t="s">
        <v>71</v>
      </c>
      <c r="P182" t="s">
        <v>55</v>
      </c>
    </row>
    <row r="183" spans="1:16" x14ac:dyDescent="0.3">
      <c r="A183" t="s">
        <v>397</v>
      </c>
      <c r="B183" s="1">
        <v>45781</v>
      </c>
      <c r="C183" t="s">
        <v>398</v>
      </c>
      <c r="D183" t="s">
        <v>58</v>
      </c>
      <c r="E183" t="s">
        <v>59</v>
      </c>
      <c r="F183" t="s">
        <v>60</v>
      </c>
      <c r="G183" t="s">
        <v>32</v>
      </c>
      <c r="H183" t="s">
        <v>84</v>
      </c>
      <c r="I183" t="s">
        <v>85</v>
      </c>
      <c r="J183" s="2">
        <v>23750</v>
      </c>
      <c r="K183">
        <v>2</v>
      </c>
      <c r="L183" s="2">
        <v>0.05</v>
      </c>
      <c r="M183" s="2">
        <v>3557.11</v>
      </c>
      <c r="N183" t="s">
        <v>24</v>
      </c>
      <c r="O183" t="s">
        <v>65</v>
      </c>
      <c r="P183" t="s">
        <v>26</v>
      </c>
    </row>
    <row r="184" spans="1:16" x14ac:dyDescent="0.3">
      <c r="A184" t="s">
        <v>1255</v>
      </c>
      <c r="B184" s="1">
        <v>46288</v>
      </c>
      <c r="C184" t="s">
        <v>946</v>
      </c>
      <c r="D184" t="s">
        <v>68</v>
      </c>
      <c r="E184" t="s">
        <v>69</v>
      </c>
      <c r="F184" t="s">
        <v>41</v>
      </c>
      <c r="G184" t="s">
        <v>61</v>
      </c>
      <c r="H184" t="s">
        <v>62</v>
      </c>
      <c r="I184" t="s">
        <v>70</v>
      </c>
      <c r="J184" s="2">
        <v>1620</v>
      </c>
      <c r="K184">
        <v>1</v>
      </c>
      <c r="L184" s="2">
        <v>0.1</v>
      </c>
      <c r="M184" s="2">
        <v>200.92</v>
      </c>
      <c r="N184" t="s">
        <v>24</v>
      </c>
      <c r="O184" t="s">
        <v>36</v>
      </c>
      <c r="P184" t="s">
        <v>55</v>
      </c>
    </row>
    <row r="185" spans="1:16" x14ac:dyDescent="0.3">
      <c r="A185" t="s">
        <v>1311</v>
      </c>
      <c r="B185" s="1">
        <v>46320</v>
      </c>
      <c r="C185" t="s">
        <v>666</v>
      </c>
      <c r="D185" t="s">
        <v>166</v>
      </c>
      <c r="E185" t="s">
        <v>75</v>
      </c>
      <c r="F185" t="s">
        <v>20</v>
      </c>
      <c r="G185" t="s">
        <v>21</v>
      </c>
      <c r="H185" t="s">
        <v>22</v>
      </c>
      <c r="I185" t="s">
        <v>111</v>
      </c>
      <c r="J185" s="2">
        <v>1200</v>
      </c>
      <c r="K185">
        <v>5</v>
      </c>
      <c r="L185" s="2">
        <v>0.2</v>
      </c>
      <c r="M185" s="2">
        <v>250.18</v>
      </c>
      <c r="N185" t="s">
        <v>45</v>
      </c>
      <c r="O185" t="s">
        <v>36</v>
      </c>
      <c r="P185" t="s">
        <v>47</v>
      </c>
    </row>
    <row r="186" spans="1:16" x14ac:dyDescent="0.3">
      <c r="A186" t="s">
        <v>1226</v>
      </c>
      <c r="B186" s="1">
        <v>46264</v>
      </c>
      <c r="C186" t="s">
        <v>396</v>
      </c>
      <c r="D186" t="s">
        <v>68</v>
      </c>
      <c r="E186" t="s">
        <v>69</v>
      </c>
      <c r="F186" t="s">
        <v>41</v>
      </c>
      <c r="G186" t="s">
        <v>61</v>
      </c>
      <c r="H186" t="s">
        <v>128</v>
      </c>
      <c r="I186" t="s">
        <v>195</v>
      </c>
      <c r="J186" s="2">
        <v>116000</v>
      </c>
      <c r="K186">
        <v>2</v>
      </c>
      <c r="L186" s="2">
        <v>0</v>
      </c>
      <c r="M186" s="2">
        <v>26122.73</v>
      </c>
      <c r="N186" t="s">
        <v>24</v>
      </c>
      <c r="O186" t="s">
        <v>79</v>
      </c>
      <c r="P186" t="s">
        <v>55</v>
      </c>
    </row>
    <row r="187" spans="1:16" x14ac:dyDescent="0.3">
      <c r="A187" t="s">
        <v>368</v>
      </c>
      <c r="B187" s="1">
        <v>45765</v>
      </c>
      <c r="C187" t="s">
        <v>260</v>
      </c>
      <c r="D187" t="s">
        <v>104</v>
      </c>
      <c r="E187" t="s">
        <v>83</v>
      </c>
      <c r="F187" t="s">
        <v>52</v>
      </c>
      <c r="G187" t="s">
        <v>21</v>
      </c>
      <c r="H187" t="s">
        <v>175</v>
      </c>
      <c r="I187" t="s">
        <v>176</v>
      </c>
      <c r="J187" s="2">
        <v>1852.5</v>
      </c>
      <c r="K187">
        <v>3</v>
      </c>
      <c r="L187" s="2">
        <v>0.05</v>
      </c>
      <c r="M187" s="2">
        <v>346.53</v>
      </c>
      <c r="N187" t="s">
        <v>114</v>
      </c>
      <c r="O187" t="s">
        <v>86</v>
      </c>
      <c r="P187" t="s">
        <v>47</v>
      </c>
    </row>
    <row r="188" spans="1:16" x14ac:dyDescent="0.3">
      <c r="A188" t="s">
        <v>599</v>
      </c>
      <c r="B188" s="1">
        <v>45881</v>
      </c>
      <c r="C188" t="s">
        <v>344</v>
      </c>
      <c r="D188" t="s">
        <v>58</v>
      </c>
      <c r="E188" t="s">
        <v>59</v>
      </c>
      <c r="F188" t="s">
        <v>60</v>
      </c>
      <c r="G188" t="s">
        <v>61</v>
      </c>
      <c r="H188" t="s">
        <v>128</v>
      </c>
      <c r="I188" t="s">
        <v>129</v>
      </c>
      <c r="J188" s="2">
        <v>187200</v>
      </c>
      <c r="K188">
        <v>4</v>
      </c>
      <c r="L188" s="2">
        <v>0.1</v>
      </c>
      <c r="M188" s="2">
        <v>50987.7</v>
      </c>
      <c r="N188" t="s">
        <v>45</v>
      </c>
      <c r="O188" t="s">
        <v>36</v>
      </c>
      <c r="P188" t="s">
        <v>47</v>
      </c>
    </row>
    <row r="189" spans="1:16" x14ac:dyDescent="0.3">
      <c r="A189" t="s">
        <v>1072</v>
      </c>
      <c r="B189" s="1">
        <v>46157</v>
      </c>
      <c r="C189" t="s">
        <v>366</v>
      </c>
      <c r="D189" t="s">
        <v>104</v>
      </c>
      <c r="E189" t="s">
        <v>83</v>
      </c>
      <c r="F189" t="s">
        <v>52</v>
      </c>
      <c r="G189" t="s">
        <v>42</v>
      </c>
      <c r="H189" t="s">
        <v>43</v>
      </c>
      <c r="I189" t="s">
        <v>44</v>
      </c>
      <c r="J189" s="2">
        <v>25500</v>
      </c>
      <c r="K189">
        <v>3</v>
      </c>
      <c r="L189" s="2">
        <v>0</v>
      </c>
      <c r="M189" s="2">
        <v>3852.46</v>
      </c>
      <c r="N189" t="s">
        <v>35</v>
      </c>
      <c r="O189" t="s">
        <v>108</v>
      </c>
      <c r="P189" t="s">
        <v>47</v>
      </c>
    </row>
    <row r="190" spans="1:16" x14ac:dyDescent="0.3">
      <c r="A190" t="s">
        <v>248</v>
      </c>
      <c r="B190" s="1">
        <v>45727</v>
      </c>
      <c r="C190" t="s">
        <v>249</v>
      </c>
      <c r="D190" t="s">
        <v>82</v>
      </c>
      <c r="E190" t="s">
        <v>83</v>
      </c>
      <c r="F190" t="s">
        <v>52</v>
      </c>
      <c r="G190" t="s">
        <v>42</v>
      </c>
      <c r="H190" t="s">
        <v>53</v>
      </c>
      <c r="I190" t="s">
        <v>54</v>
      </c>
      <c r="J190" s="2">
        <v>9720</v>
      </c>
      <c r="K190">
        <v>6</v>
      </c>
      <c r="L190" s="2">
        <v>0.1</v>
      </c>
      <c r="M190" s="2">
        <v>2137.9299999999998</v>
      </c>
      <c r="N190" t="s">
        <v>35</v>
      </c>
      <c r="O190" t="s">
        <v>65</v>
      </c>
      <c r="P190" t="s">
        <v>55</v>
      </c>
    </row>
    <row r="191" spans="1:16" x14ac:dyDescent="0.3">
      <c r="A191" t="s">
        <v>915</v>
      </c>
      <c r="B191" s="1">
        <v>46062</v>
      </c>
      <c r="C191" t="s">
        <v>410</v>
      </c>
      <c r="D191" t="s">
        <v>39</v>
      </c>
      <c r="E191" t="s">
        <v>40</v>
      </c>
      <c r="F191" t="s">
        <v>41</v>
      </c>
      <c r="G191" t="s">
        <v>21</v>
      </c>
      <c r="H191" t="s">
        <v>22</v>
      </c>
      <c r="I191" t="s">
        <v>111</v>
      </c>
      <c r="J191" s="2">
        <v>1620</v>
      </c>
      <c r="K191">
        <v>6</v>
      </c>
      <c r="L191" s="2">
        <v>0.1</v>
      </c>
      <c r="M191" s="2">
        <v>241.67</v>
      </c>
      <c r="N191" t="s">
        <v>24</v>
      </c>
      <c r="O191" t="s">
        <v>36</v>
      </c>
      <c r="P191" t="s">
        <v>26</v>
      </c>
    </row>
    <row r="192" spans="1:16" x14ac:dyDescent="0.3">
      <c r="A192" t="s">
        <v>1355</v>
      </c>
      <c r="B192" s="1">
        <v>46355</v>
      </c>
      <c r="C192" t="s">
        <v>1356</v>
      </c>
      <c r="D192" t="s">
        <v>134</v>
      </c>
      <c r="E192" t="s">
        <v>75</v>
      </c>
      <c r="F192" t="s">
        <v>20</v>
      </c>
      <c r="G192" t="s">
        <v>32</v>
      </c>
      <c r="H192" t="s">
        <v>33</v>
      </c>
      <c r="I192" t="s">
        <v>34</v>
      </c>
      <c r="J192" s="2">
        <v>22320</v>
      </c>
      <c r="K192">
        <v>4</v>
      </c>
      <c r="L192" s="2">
        <v>0.1</v>
      </c>
      <c r="M192" s="2">
        <v>4880.04</v>
      </c>
      <c r="N192" t="s">
        <v>35</v>
      </c>
      <c r="O192" t="s">
        <v>71</v>
      </c>
      <c r="P192" t="s">
        <v>55</v>
      </c>
    </row>
    <row r="193" spans="1:16" x14ac:dyDescent="0.3">
      <c r="A193" t="s">
        <v>269</v>
      </c>
      <c r="B193" s="1">
        <v>45733</v>
      </c>
      <c r="C193" t="s">
        <v>270</v>
      </c>
      <c r="D193" t="s">
        <v>96</v>
      </c>
      <c r="E193" t="s">
        <v>97</v>
      </c>
      <c r="F193" t="s">
        <v>20</v>
      </c>
      <c r="G193" t="s">
        <v>61</v>
      </c>
      <c r="H193" t="s">
        <v>98</v>
      </c>
      <c r="I193" t="s">
        <v>156</v>
      </c>
      <c r="J193" s="2">
        <v>34200</v>
      </c>
      <c r="K193">
        <v>1</v>
      </c>
      <c r="L193" s="2">
        <v>0.1</v>
      </c>
      <c r="M193" s="2">
        <v>3346.33</v>
      </c>
      <c r="N193" t="s">
        <v>24</v>
      </c>
      <c r="O193" t="s">
        <v>135</v>
      </c>
      <c r="P193" t="s">
        <v>26</v>
      </c>
    </row>
    <row r="194" spans="1:16" x14ac:dyDescent="0.3">
      <c r="A194" t="s">
        <v>742</v>
      </c>
      <c r="B194" s="1">
        <v>45960</v>
      </c>
      <c r="C194" t="s">
        <v>743</v>
      </c>
      <c r="D194" t="s">
        <v>134</v>
      </c>
      <c r="E194" t="s">
        <v>75</v>
      </c>
      <c r="F194" t="s">
        <v>20</v>
      </c>
      <c r="G194" t="s">
        <v>61</v>
      </c>
      <c r="H194" t="s">
        <v>128</v>
      </c>
      <c r="I194" t="s">
        <v>129</v>
      </c>
      <c r="J194" s="2">
        <v>52000</v>
      </c>
      <c r="K194">
        <v>1</v>
      </c>
      <c r="L194" s="2">
        <v>0</v>
      </c>
      <c r="M194" s="2">
        <v>6454.36</v>
      </c>
      <c r="N194" t="s">
        <v>24</v>
      </c>
      <c r="O194" t="s">
        <v>79</v>
      </c>
      <c r="P194" t="s">
        <v>26</v>
      </c>
    </row>
    <row r="195" spans="1:16" x14ac:dyDescent="0.3">
      <c r="A195" t="s">
        <v>275</v>
      </c>
      <c r="B195" s="1">
        <v>45735</v>
      </c>
      <c r="C195" t="s">
        <v>276</v>
      </c>
      <c r="D195" t="s">
        <v>119</v>
      </c>
      <c r="E195" t="s">
        <v>75</v>
      </c>
      <c r="F195" t="s">
        <v>20</v>
      </c>
      <c r="G195" t="s">
        <v>32</v>
      </c>
      <c r="H195" t="s">
        <v>84</v>
      </c>
      <c r="I195" t="s">
        <v>85</v>
      </c>
      <c r="J195" s="2">
        <v>42500</v>
      </c>
      <c r="K195">
        <v>4</v>
      </c>
      <c r="L195" s="2">
        <v>0.15</v>
      </c>
      <c r="M195" s="2">
        <v>3825.79</v>
      </c>
      <c r="N195" t="s">
        <v>64</v>
      </c>
      <c r="O195" t="s">
        <v>108</v>
      </c>
      <c r="P195" t="s">
        <v>26</v>
      </c>
    </row>
    <row r="196" spans="1:16" x14ac:dyDescent="0.3">
      <c r="A196" t="s">
        <v>1253</v>
      </c>
      <c r="B196" s="1">
        <v>46287</v>
      </c>
      <c r="C196" t="s">
        <v>426</v>
      </c>
      <c r="D196" t="s">
        <v>91</v>
      </c>
      <c r="E196" t="s">
        <v>91</v>
      </c>
      <c r="F196" t="s">
        <v>60</v>
      </c>
      <c r="G196" t="s">
        <v>21</v>
      </c>
      <c r="H196" t="s">
        <v>22</v>
      </c>
      <c r="I196" t="s">
        <v>111</v>
      </c>
      <c r="J196" s="2">
        <v>600</v>
      </c>
      <c r="K196">
        <v>2</v>
      </c>
      <c r="L196" s="2">
        <v>0</v>
      </c>
      <c r="M196" s="2">
        <v>132.03</v>
      </c>
      <c r="N196" t="s">
        <v>64</v>
      </c>
      <c r="O196" t="s">
        <v>135</v>
      </c>
      <c r="P196" t="s">
        <v>26</v>
      </c>
    </row>
    <row r="197" spans="1:16" x14ac:dyDescent="0.3">
      <c r="A197" t="s">
        <v>206</v>
      </c>
      <c r="B197" s="1">
        <v>45706</v>
      </c>
      <c r="C197" t="s">
        <v>207</v>
      </c>
      <c r="D197" t="s">
        <v>74</v>
      </c>
      <c r="E197" t="s">
        <v>75</v>
      </c>
      <c r="F197" t="s">
        <v>20</v>
      </c>
      <c r="G197" t="s">
        <v>61</v>
      </c>
      <c r="H197" t="s">
        <v>62</v>
      </c>
      <c r="I197" t="s">
        <v>70</v>
      </c>
      <c r="J197" s="2">
        <v>3060</v>
      </c>
      <c r="K197">
        <v>2</v>
      </c>
      <c r="L197" s="2">
        <v>0.15</v>
      </c>
      <c r="M197" s="2">
        <v>728.57</v>
      </c>
      <c r="N197" t="s">
        <v>24</v>
      </c>
      <c r="O197" t="s">
        <v>79</v>
      </c>
      <c r="P197" t="s">
        <v>47</v>
      </c>
    </row>
    <row r="198" spans="1:16" x14ac:dyDescent="0.3">
      <c r="A198" t="s">
        <v>514</v>
      </c>
      <c r="B198" s="1">
        <v>45839</v>
      </c>
      <c r="C198" t="s">
        <v>474</v>
      </c>
      <c r="D198" t="s">
        <v>134</v>
      </c>
      <c r="E198" t="s">
        <v>75</v>
      </c>
      <c r="F198" t="s">
        <v>20</v>
      </c>
      <c r="G198" t="s">
        <v>61</v>
      </c>
      <c r="H198" t="s">
        <v>128</v>
      </c>
      <c r="I198" t="s">
        <v>195</v>
      </c>
      <c r="J198" s="2">
        <v>165300</v>
      </c>
      <c r="K198">
        <v>3</v>
      </c>
      <c r="L198" s="2">
        <v>0.05</v>
      </c>
      <c r="M198" s="2">
        <v>36295.599999999999</v>
      </c>
      <c r="N198" t="s">
        <v>24</v>
      </c>
      <c r="O198" t="s">
        <v>36</v>
      </c>
      <c r="P198" t="s">
        <v>55</v>
      </c>
    </row>
    <row r="199" spans="1:16" x14ac:dyDescent="0.3">
      <c r="A199" t="s">
        <v>585</v>
      </c>
      <c r="B199" s="1">
        <v>45877</v>
      </c>
      <c r="C199" t="s">
        <v>146</v>
      </c>
      <c r="D199" t="s">
        <v>134</v>
      </c>
      <c r="E199" t="s">
        <v>75</v>
      </c>
      <c r="F199" t="s">
        <v>20</v>
      </c>
      <c r="G199" t="s">
        <v>21</v>
      </c>
      <c r="H199" t="s">
        <v>175</v>
      </c>
      <c r="I199" t="s">
        <v>176</v>
      </c>
      <c r="J199" s="2">
        <v>3250</v>
      </c>
      <c r="K199">
        <v>5</v>
      </c>
      <c r="L199" s="2">
        <v>0</v>
      </c>
      <c r="M199" s="2">
        <v>297.08999999999997</v>
      </c>
      <c r="N199" t="s">
        <v>24</v>
      </c>
      <c r="O199" t="s">
        <v>86</v>
      </c>
      <c r="P199" t="s">
        <v>47</v>
      </c>
    </row>
    <row r="200" spans="1:16" x14ac:dyDescent="0.3">
      <c r="A200" t="s">
        <v>608</v>
      </c>
      <c r="B200" s="1">
        <v>45885</v>
      </c>
      <c r="C200" t="s">
        <v>609</v>
      </c>
      <c r="D200" t="s">
        <v>29</v>
      </c>
      <c r="E200" t="s">
        <v>30</v>
      </c>
      <c r="F200" t="s">
        <v>31</v>
      </c>
      <c r="G200" t="s">
        <v>32</v>
      </c>
      <c r="H200" t="s">
        <v>33</v>
      </c>
      <c r="I200" t="s">
        <v>34</v>
      </c>
      <c r="J200" s="2">
        <v>10540</v>
      </c>
      <c r="K200">
        <v>2</v>
      </c>
      <c r="L200" s="2">
        <v>0.15</v>
      </c>
      <c r="M200" s="2">
        <v>1304.6600000000001</v>
      </c>
      <c r="N200" t="s">
        <v>35</v>
      </c>
      <c r="O200" t="s">
        <v>108</v>
      </c>
      <c r="P200" t="s">
        <v>55</v>
      </c>
    </row>
    <row r="201" spans="1:16" x14ac:dyDescent="0.3">
      <c r="A201" t="s">
        <v>1322</v>
      </c>
      <c r="B201" s="1">
        <v>46329</v>
      </c>
      <c r="C201" t="s">
        <v>609</v>
      </c>
      <c r="D201" t="s">
        <v>91</v>
      </c>
      <c r="E201" t="s">
        <v>91</v>
      </c>
      <c r="F201" t="s">
        <v>60</v>
      </c>
      <c r="G201" t="s">
        <v>32</v>
      </c>
      <c r="H201" t="s">
        <v>92</v>
      </c>
      <c r="I201" t="s">
        <v>93</v>
      </c>
      <c r="J201" s="2">
        <v>9775</v>
      </c>
      <c r="K201">
        <v>1</v>
      </c>
      <c r="L201" s="2">
        <v>0.15</v>
      </c>
      <c r="M201" s="2">
        <v>842.93</v>
      </c>
      <c r="N201" t="s">
        <v>114</v>
      </c>
      <c r="O201" t="s">
        <v>108</v>
      </c>
      <c r="P201" t="s">
        <v>47</v>
      </c>
    </row>
    <row r="202" spans="1:16" x14ac:dyDescent="0.3">
      <c r="A202" t="s">
        <v>1215</v>
      </c>
      <c r="B202" s="1">
        <v>46256</v>
      </c>
      <c r="C202" t="s">
        <v>480</v>
      </c>
      <c r="D202" t="s">
        <v>68</v>
      </c>
      <c r="E202" t="s">
        <v>69</v>
      </c>
      <c r="F202" t="s">
        <v>41</v>
      </c>
      <c r="G202" t="s">
        <v>42</v>
      </c>
      <c r="H202" t="s">
        <v>53</v>
      </c>
      <c r="I202" t="s">
        <v>54</v>
      </c>
      <c r="J202" s="2">
        <v>1620</v>
      </c>
      <c r="K202">
        <v>1</v>
      </c>
      <c r="L202" s="2">
        <v>0.1</v>
      </c>
      <c r="M202" s="2">
        <v>436.53</v>
      </c>
      <c r="N202" t="s">
        <v>64</v>
      </c>
      <c r="O202" t="s">
        <v>135</v>
      </c>
      <c r="P202" t="s">
        <v>55</v>
      </c>
    </row>
    <row r="203" spans="1:16" x14ac:dyDescent="0.3">
      <c r="A203" t="s">
        <v>1049</v>
      </c>
      <c r="B203" s="1">
        <v>46147</v>
      </c>
      <c r="C203" t="s">
        <v>199</v>
      </c>
      <c r="D203" t="s">
        <v>91</v>
      </c>
      <c r="E203" t="s">
        <v>91</v>
      </c>
      <c r="F203" t="s">
        <v>60</v>
      </c>
      <c r="G203" t="s">
        <v>76</v>
      </c>
      <c r="H203" t="s">
        <v>122</v>
      </c>
      <c r="I203" t="s">
        <v>123</v>
      </c>
      <c r="J203" s="2">
        <v>2200</v>
      </c>
      <c r="K203">
        <v>1</v>
      </c>
      <c r="L203" s="2">
        <v>0</v>
      </c>
      <c r="M203" s="2">
        <v>185.7</v>
      </c>
      <c r="N203" t="s">
        <v>64</v>
      </c>
      <c r="O203" t="s">
        <v>25</v>
      </c>
      <c r="P203" t="s">
        <v>26</v>
      </c>
    </row>
    <row r="204" spans="1:16" x14ac:dyDescent="0.3">
      <c r="A204" t="s">
        <v>1060</v>
      </c>
      <c r="B204" s="1">
        <v>46151</v>
      </c>
      <c r="C204" t="s">
        <v>188</v>
      </c>
      <c r="D204" t="s">
        <v>39</v>
      </c>
      <c r="E204" t="s">
        <v>40</v>
      </c>
      <c r="F204" t="s">
        <v>41</v>
      </c>
      <c r="G204" t="s">
        <v>76</v>
      </c>
      <c r="H204" t="s">
        <v>122</v>
      </c>
      <c r="I204" t="s">
        <v>217</v>
      </c>
      <c r="J204" s="2">
        <v>5400</v>
      </c>
      <c r="K204">
        <v>3</v>
      </c>
      <c r="L204" s="2">
        <v>0</v>
      </c>
      <c r="M204" s="2">
        <v>1196.46</v>
      </c>
      <c r="N204" t="s">
        <v>64</v>
      </c>
      <c r="O204" t="s">
        <v>108</v>
      </c>
      <c r="P204" t="s">
        <v>26</v>
      </c>
    </row>
    <row r="205" spans="1:16" x14ac:dyDescent="0.3">
      <c r="A205" t="s">
        <v>1266</v>
      </c>
      <c r="B205" s="1">
        <v>46294</v>
      </c>
      <c r="C205" t="s">
        <v>199</v>
      </c>
      <c r="D205" t="s">
        <v>104</v>
      </c>
      <c r="E205" t="s">
        <v>83</v>
      </c>
      <c r="F205" t="s">
        <v>52</v>
      </c>
      <c r="G205" t="s">
        <v>76</v>
      </c>
      <c r="H205" t="s">
        <v>122</v>
      </c>
      <c r="I205" t="s">
        <v>123</v>
      </c>
      <c r="J205" s="2">
        <v>1980</v>
      </c>
      <c r="K205">
        <v>1</v>
      </c>
      <c r="L205" s="2">
        <v>0.1</v>
      </c>
      <c r="M205" s="2">
        <v>323.42</v>
      </c>
      <c r="N205" t="s">
        <v>24</v>
      </c>
      <c r="O205" t="s">
        <v>86</v>
      </c>
      <c r="P205" t="s">
        <v>55</v>
      </c>
    </row>
    <row r="206" spans="1:16" x14ac:dyDescent="0.3">
      <c r="A206" t="s">
        <v>161</v>
      </c>
      <c r="B206" s="1">
        <v>45689</v>
      </c>
      <c r="C206" t="s">
        <v>162</v>
      </c>
      <c r="D206" t="s">
        <v>18</v>
      </c>
      <c r="E206" t="s">
        <v>19</v>
      </c>
      <c r="F206" t="s">
        <v>20</v>
      </c>
      <c r="G206" t="s">
        <v>61</v>
      </c>
      <c r="H206" t="s">
        <v>98</v>
      </c>
      <c r="I206" t="s">
        <v>156</v>
      </c>
      <c r="J206" s="2">
        <v>60800</v>
      </c>
      <c r="K206">
        <v>2</v>
      </c>
      <c r="L206" s="2">
        <v>0.2</v>
      </c>
      <c r="M206" s="2">
        <v>13306.25</v>
      </c>
      <c r="N206" t="s">
        <v>24</v>
      </c>
      <c r="O206" t="s">
        <v>108</v>
      </c>
      <c r="P206" t="s">
        <v>55</v>
      </c>
    </row>
    <row r="207" spans="1:16" x14ac:dyDescent="0.3">
      <c r="A207" t="s">
        <v>870</v>
      </c>
      <c r="B207" s="1">
        <v>46038</v>
      </c>
      <c r="C207" t="s">
        <v>871</v>
      </c>
      <c r="D207" t="s">
        <v>134</v>
      </c>
      <c r="E207" t="s">
        <v>75</v>
      </c>
      <c r="F207" t="s">
        <v>20</v>
      </c>
      <c r="G207" t="s">
        <v>42</v>
      </c>
      <c r="H207" t="s">
        <v>53</v>
      </c>
      <c r="I207" t="s">
        <v>54</v>
      </c>
      <c r="J207" s="2">
        <v>8100</v>
      </c>
      <c r="K207">
        <v>5</v>
      </c>
      <c r="L207" s="2">
        <v>0.1</v>
      </c>
      <c r="M207" s="2">
        <v>848.63</v>
      </c>
      <c r="N207" t="s">
        <v>35</v>
      </c>
      <c r="O207" t="s">
        <v>108</v>
      </c>
      <c r="P207" t="s">
        <v>26</v>
      </c>
    </row>
    <row r="208" spans="1:16" x14ac:dyDescent="0.3">
      <c r="A208" t="s">
        <v>607</v>
      </c>
      <c r="B208" s="1">
        <v>45884</v>
      </c>
      <c r="C208" t="s">
        <v>253</v>
      </c>
      <c r="D208" t="s">
        <v>96</v>
      </c>
      <c r="E208" t="s">
        <v>97</v>
      </c>
      <c r="F208" t="s">
        <v>20</v>
      </c>
      <c r="G208" t="s">
        <v>21</v>
      </c>
      <c r="H208" t="s">
        <v>175</v>
      </c>
      <c r="I208" t="s">
        <v>176</v>
      </c>
      <c r="J208" s="2">
        <v>3705</v>
      </c>
      <c r="K208">
        <v>6</v>
      </c>
      <c r="L208" s="2">
        <v>0.05</v>
      </c>
      <c r="M208" s="2">
        <v>489.18</v>
      </c>
      <c r="N208" t="s">
        <v>24</v>
      </c>
      <c r="O208" t="s">
        <v>46</v>
      </c>
      <c r="P208" t="s">
        <v>26</v>
      </c>
    </row>
    <row r="209" spans="1:16" x14ac:dyDescent="0.3">
      <c r="A209" t="s">
        <v>1087</v>
      </c>
      <c r="B209" s="1">
        <v>46165</v>
      </c>
      <c r="C209" t="s">
        <v>178</v>
      </c>
      <c r="D209" t="s">
        <v>50</v>
      </c>
      <c r="E209" t="s">
        <v>51</v>
      </c>
      <c r="F209" t="s">
        <v>52</v>
      </c>
      <c r="G209" t="s">
        <v>32</v>
      </c>
      <c r="H209" t="s">
        <v>33</v>
      </c>
      <c r="I209" t="s">
        <v>34</v>
      </c>
      <c r="J209" s="2">
        <v>24800</v>
      </c>
      <c r="K209">
        <v>5</v>
      </c>
      <c r="L209" s="2">
        <v>0.2</v>
      </c>
      <c r="M209" s="2">
        <v>2487.11</v>
      </c>
      <c r="N209" t="s">
        <v>114</v>
      </c>
      <c r="O209" t="s">
        <v>105</v>
      </c>
      <c r="P209" t="s">
        <v>55</v>
      </c>
    </row>
    <row r="210" spans="1:16" x14ac:dyDescent="0.3">
      <c r="A210" t="s">
        <v>680</v>
      </c>
      <c r="B210" s="1">
        <v>45925</v>
      </c>
      <c r="C210" t="s">
        <v>606</v>
      </c>
      <c r="D210" t="s">
        <v>91</v>
      </c>
      <c r="E210" t="s">
        <v>91</v>
      </c>
      <c r="F210" t="s">
        <v>60</v>
      </c>
      <c r="G210" t="s">
        <v>32</v>
      </c>
      <c r="H210" t="s">
        <v>84</v>
      </c>
      <c r="I210" t="s">
        <v>85</v>
      </c>
      <c r="J210" s="2">
        <v>67500</v>
      </c>
      <c r="K210">
        <v>6</v>
      </c>
      <c r="L210" s="2">
        <v>0.1</v>
      </c>
      <c r="M210" s="2">
        <v>6725.16</v>
      </c>
      <c r="N210" t="s">
        <v>45</v>
      </c>
      <c r="O210" t="s">
        <v>135</v>
      </c>
      <c r="P210" t="s">
        <v>55</v>
      </c>
    </row>
    <row r="211" spans="1:16" x14ac:dyDescent="0.3">
      <c r="A211" t="s">
        <v>1343</v>
      </c>
      <c r="B211" s="1">
        <v>46345</v>
      </c>
      <c r="C211" t="s">
        <v>555</v>
      </c>
      <c r="D211" t="s">
        <v>166</v>
      </c>
      <c r="E211" t="s">
        <v>75</v>
      </c>
      <c r="F211" t="s">
        <v>20</v>
      </c>
      <c r="G211" t="s">
        <v>61</v>
      </c>
      <c r="H211" t="s">
        <v>62</v>
      </c>
      <c r="I211" t="s">
        <v>70</v>
      </c>
      <c r="J211" s="2">
        <v>1620</v>
      </c>
      <c r="K211">
        <v>1</v>
      </c>
      <c r="L211" s="2">
        <v>0.1</v>
      </c>
      <c r="M211" s="2">
        <v>126.42</v>
      </c>
      <c r="N211" t="s">
        <v>24</v>
      </c>
      <c r="O211" t="s">
        <v>79</v>
      </c>
      <c r="P211" t="s">
        <v>47</v>
      </c>
    </row>
    <row r="212" spans="1:16" x14ac:dyDescent="0.3">
      <c r="A212" t="s">
        <v>369</v>
      </c>
      <c r="B212" s="1">
        <v>45766</v>
      </c>
      <c r="C212" t="s">
        <v>370</v>
      </c>
      <c r="D212" t="s">
        <v>82</v>
      </c>
      <c r="E212" t="s">
        <v>83</v>
      </c>
      <c r="F212" t="s">
        <v>52</v>
      </c>
      <c r="G212" t="s">
        <v>76</v>
      </c>
      <c r="H212" t="s">
        <v>77</v>
      </c>
      <c r="I212" t="s">
        <v>171</v>
      </c>
      <c r="J212" s="2">
        <v>5760</v>
      </c>
      <c r="K212">
        <v>4</v>
      </c>
      <c r="L212" s="2">
        <v>0.1</v>
      </c>
      <c r="M212" s="2">
        <v>743.32</v>
      </c>
      <c r="N212" t="s">
        <v>24</v>
      </c>
      <c r="O212" t="s">
        <v>79</v>
      </c>
      <c r="P212" t="s">
        <v>47</v>
      </c>
    </row>
    <row r="213" spans="1:16" x14ac:dyDescent="0.3">
      <c r="A213" t="s">
        <v>1316</v>
      </c>
      <c r="B213" s="1">
        <v>46323</v>
      </c>
      <c r="C213" t="s">
        <v>499</v>
      </c>
      <c r="D213" t="s">
        <v>96</v>
      </c>
      <c r="E213" t="s">
        <v>97</v>
      </c>
      <c r="F213" t="s">
        <v>20</v>
      </c>
      <c r="G213" t="s">
        <v>21</v>
      </c>
      <c r="H213" t="s">
        <v>175</v>
      </c>
      <c r="I213" t="s">
        <v>176</v>
      </c>
      <c r="J213" s="2">
        <v>1755</v>
      </c>
      <c r="K213">
        <v>3</v>
      </c>
      <c r="L213" s="2">
        <v>0.1</v>
      </c>
      <c r="M213" s="2">
        <v>163.76</v>
      </c>
      <c r="N213" t="s">
        <v>114</v>
      </c>
      <c r="O213" t="s">
        <v>36</v>
      </c>
      <c r="P213" t="s">
        <v>47</v>
      </c>
    </row>
    <row r="214" spans="1:16" x14ac:dyDescent="0.3">
      <c r="A214" t="s">
        <v>992</v>
      </c>
      <c r="B214" s="1">
        <v>46114</v>
      </c>
      <c r="C214" t="s">
        <v>798</v>
      </c>
      <c r="D214" t="s">
        <v>166</v>
      </c>
      <c r="E214" t="s">
        <v>75</v>
      </c>
      <c r="F214" t="s">
        <v>20</v>
      </c>
      <c r="G214" t="s">
        <v>61</v>
      </c>
      <c r="H214" t="s">
        <v>98</v>
      </c>
      <c r="I214" t="s">
        <v>99</v>
      </c>
      <c r="J214" s="2">
        <v>96000</v>
      </c>
      <c r="K214">
        <v>4</v>
      </c>
      <c r="L214" s="2">
        <v>0.2</v>
      </c>
      <c r="M214" s="2">
        <v>22773.68</v>
      </c>
      <c r="N214" t="s">
        <v>45</v>
      </c>
      <c r="O214" t="s">
        <v>108</v>
      </c>
      <c r="P214" t="s">
        <v>26</v>
      </c>
    </row>
    <row r="215" spans="1:16" x14ac:dyDescent="0.3">
      <c r="A215" t="s">
        <v>796</v>
      </c>
      <c r="B215" s="1">
        <v>45995</v>
      </c>
      <c r="C215" t="s">
        <v>743</v>
      </c>
      <c r="D215" t="s">
        <v>68</v>
      </c>
      <c r="E215" t="s">
        <v>69</v>
      </c>
      <c r="F215" t="s">
        <v>41</v>
      </c>
      <c r="G215" t="s">
        <v>42</v>
      </c>
      <c r="H215" t="s">
        <v>53</v>
      </c>
      <c r="I215" t="s">
        <v>54</v>
      </c>
      <c r="J215" s="2">
        <v>1710</v>
      </c>
      <c r="K215">
        <v>1</v>
      </c>
      <c r="L215" s="2">
        <v>0.05</v>
      </c>
      <c r="M215" s="2">
        <v>178.1</v>
      </c>
      <c r="N215" t="s">
        <v>64</v>
      </c>
      <c r="O215" t="s">
        <v>105</v>
      </c>
      <c r="P215" t="s">
        <v>55</v>
      </c>
    </row>
    <row r="216" spans="1:16" x14ac:dyDescent="0.3">
      <c r="A216" t="s">
        <v>646</v>
      </c>
      <c r="B216" s="1">
        <v>45905</v>
      </c>
      <c r="C216" t="s">
        <v>647</v>
      </c>
      <c r="D216" t="s">
        <v>173</v>
      </c>
      <c r="E216" t="s">
        <v>174</v>
      </c>
      <c r="F216" t="s">
        <v>60</v>
      </c>
      <c r="G216" t="s">
        <v>76</v>
      </c>
      <c r="H216" t="s">
        <v>77</v>
      </c>
      <c r="I216" t="s">
        <v>78</v>
      </c>
      <c r="J216" s="2">
        <v>2400</v>
      </c>
      <c r="K216">
        <v>1</v>
      </c>
      <c r="L216" s="2">
        <v>0</v>
      </c>
      <c r="M216" s="2">
        <v>516.57000000000005</v>
      </c>
      <c r="N216" t="s">
        <v>64</v>
      </c>
      <c r="O216" t="s">
        <v>65</v>
      </c>
      <c r="P216" t="s">
        <v>26</v>
      </c>
    </row>
    <row r="217" spans="1:16" x14ac:dyDescent="0.3">
      <c r="A217" t="s">
        <v>1122</v>
      </c>
      <c r="B217" s="1">
        <v>46190</v>
      </c>
      <c r="C217" t="s">
        <v>708</v>
      </c>
      <c r="D217" t="s">
        <v>18</v>
      </c>
      <c r="E217" t="s">
        <v>19</v>
      </c>
      <c r="F217" t="s">
        <v>20</v>
      </c>
      <c r="G217" t="s">
        <v>61</v>
      </c>
      <c r="H217" t="s">
        <v>98</v>
      </c>
      <c r="I217" t="s">
        <v>156</v>
      </c>
      <c r="J217" s="2">
        <v>129200</v>
      </c>
      <c r="K217">
        <v>4</v>
      </c>
      <c r="L217" s="2">
        <v>0.15</v>
      </c>
      <c r="M217" s="2">
        <v>14237.88</v>
      </c>
      <c r="N217" t="s">
        <v>114</v>
      </c>
      <c r="O217" t="s">
        <v>105</v>
      </c>
      <c r="P217" t="s">
        <v>47</v>
      </c>
    </row>
    <row r="218" spans="1:16" x14ac:dyDescent="0.3">
      <c r="A218" t="s">
        <v>567</v>
      </c>
      <c r="B218" s="1">
        <v>45867</v>
      </c>
      <c r="C218" t="s">
        <v>446</v>
      </c>
      <c r="D218" t="s">
        <v>134</v>
      </c>
      <c r="E218" t="s">
        <v>75</v>
      </c>
      <c r="F218" t="s">
        <v>20</v>
      </c>
      <c r="G218" t="s">
        <v>76</v>
      </c>
      <c r="H218" t="s">
        <v>122</v>
      </c>
      <c r="I218" t="s">
        <v>123</v>
      </c>
      <c r="J218" s="2">
        <v>1870</v>
      </c>
      <c r="K218">
        <v>1</v>
      </c>
      <c r="L218" s="2">
        <v>0.15</v>
      </c>
      <c r="M218" s="2">
        <v>411.8</v>
      </c>
      <c r="N218" t="s">
        <v>45</v>
      </c>
      <c r="O218" t="s">
        <v>46</v>
      </c>
      <c r="P218" t="s">
        <v>55</v>
      </c>
    </row>
    <row r="219" spans="1:16" x14ac:dyDescent="0.3">
      <c r="A219" t="s">
        <v>1304</v>
      </c>
      <c r="B219" s="1">
        <v>46316</v>
      </c>
      <c r="C219" t="s">
        <v>1305</v>
      </c>
      <c r="D219" t="s">
        <v>50</v>
      </c>
      <c r="E219" t="s">
        <v>51</v>
      </c>
      <c r="F219" t="s">
        <v>52</v>
      </c>
      <c r="G219" t="s">
        <v>32</v>
      </c>
      <c r="H219" t="s">
        <v>92</v>
      </c>
      <c r="I219" t="s">
        <v>93</v>
      </c>
      <c r="J219" s="2">
        <v>65550</v>
      </c>
      <c r="K219">
        <v>6</v>
      </c>
      <c r="L219" s="2">
        <v>0.05</v>
      </c>
      <c r="M219" s="2">
        <v>10040.83</v>
      </c>
      <c r="N219" t="s">
        <v>24</v>
      </c>
      <c r="O219" t="s">
        <v>25</v>
      </c>
      <c r="P219" t="s">
        <v>26</v>
      </c>
    </row>
    <row r="220" spans="1:16" x14ac:dyDescent="0.3">
      <c r="A220" t="s">
        <v>941</v>
      </c>
      <c r="B220" s="1">
        <v>46083</v>
      </c>
      <c r="C220" t="s">
        <v>516</v>
      </c>
      <c r="D220" t="s">
        <v>18</v>
      </c>
      <c r="E220" t="s">
        <v>19</v>
      </c>
      <c r="F220" t="s">
        <v>20</v>
      </c>
      <c r="G220" t="s">
        <v>42</v>
      </c>
      <c r="H220" t="s">
        <v>53</v>
      </c>
      <c r="I220" t="s">
        <v>54</v>
      </c>
      <c r="J220" s="2">
        <v>10260</v>
      </c>
      <c r="K220">
        <v>6</v>
      </c>
      <c r="L220" s="2">
        <v>0.05</v>
      </c>
      <c r="M220" s="2">
        <v>2541.48</v>
      </c>
      <c r="N220" t="s">
        <v>24</v>
      </c>
      <c r="O220" t="s">
        <v>65</v>
      </c>
      <c r="P220" t="s">
        <v>26</v>
      </c>
    </row>
    <row r="221" spans="1:16" x14ac:dyDescent="0.3">
      <c r="A221" t="s">
        <v>895</v>
      </c>
      <c r="B221" s="1">
        <v>46055</v>
      </c>
      <c r="C221" t="s">
        <v>270</v>
      </c>
      <c r="D221" t="s">
        <v>152</v>
      </c>
      <c r="E221" t="s">
        <v>153</v>
      </c>
      <c r="F221" t="s">
        <v>20</v>
      </c>
      <c r="G221" t="s">
        <v>21</v>
      </c>
      <c r="H221" t="s">
        <v>22</v>
      </c>
      <c r="I221" t="s">
        <v>23</v>
      </c>
      <c r="J221" s="2">
        <v>1215</v>
      </c>
      <c r="K221">
        <v>3</v>
      </c>
      <c r="L221" s="2">
        <v>0.1</v>
      </c>
      <c r="M221" s="2">
        <v>212.85</v>
      </c>
      <c r="N221" t="s">
        <v>114</v>
      </c>
      <c r="O221" t="s">
        <v>65</v>
      </c>
      <c r="P221" t="s">
        <v>26</v>
      </c>
    </row>
    <row r="222" spans="1:16" x14ac:dyDescent="0.3">
      <c r="A222" t="s">
        <v>786</v>
      </c>
      <c r="B222" s="1">
        <v>45991</v>
      </c>
      <c r="C222" t="s">
        <v>178</v>
      </c>
      <c r="D222" t="s">
        <v>173</v>
      </c>
      <c r="E222" t="s">
        <v>174</v>
      </c>
      <c r="F222" t="s">
        <v>60</v>
      </c>
      <c r="G222" t="s">
        <v>61</v>
      </c>
      <c r="H222" t="s">
        <v>128</v>
      </c>
      <c r="I222" t="s">
        <v>129</v>
      </c>
      <c r="J222" s="2">
        <v>197600</v>
      </c>
      <c r="K222">
        <v>4</v>
      </c>
      <c r="L222" s="2">
        <v>0.05</v>
      </c>
      <c r="M222" s="2">
        <v>38667.42</v>
      </c>
      <c r="N222" t="s">
        <v>45</v>
      </c>
      <c r="O222" t="s">
        <v>65</v>
      </c>
      <c r="P222" t="s">
        <v>47</v>
      </c>
    </row>
    <row r="223" spans="1:16" x14ac:dyDescent="0.3">
      <c r="A223" t="s">
        <v>226</v>
      </c>
      <c r="B223" s="1">
        <v>45719</v>
      </c>
      <c r="C223" t="s">
        <v>227</v>
      </c>
      <c r="D223" t="s">
        <v>91</v>
      </c>
      <c r="E223" t="s">
        <v>91</v>
      </c>
      <c r="F223" t="s">
        <v>60</v>
      </c>
      <c r="G223" t="s">
        <v>32</v>
      </c>
      <c r="H223" t="s">
        <v>92</v>
      </c>
      <c r="I223" t="s">
        <v>93</v>
      </c>
      <c r="J223" s="2">
        <v>9200</v>
      </c>
      <c r="K223">
        <v>1</v>
      </c>
      <c r="L223" s="2">
        <v>0.2</v>
      </c>
      <c r="M223" s="2">
        <v>1698.4</v>
      </c>
      <c r="N223" t="s">
        <v>24</v>
      </c>
      <c r="O223" t="s">
        <v>135</v>
      </c>
      <c r="P223" t="s">
        <v>55</v>
      </c>
    </row>
    <row r="224" spans="1:16" x14ac:dyDescent="0.3">
      <c r="A224" t="s">
        <v>543</v>
      </c>
      <c r="B224" s="1">
        <v>45858</v>
      </c>
      <c r="C224" t="s">
        <v>178</v>
      </c>
      <c r="D224" t="s">
        <v>29</v>
      </c>
      <c r="E224" t="s">
        <v>30</v>
      </c>
      <c r="F224" t="s">
        <v>31</v>
      </c>
      <c r="G224" t="s">
        <v>42</v>
      </c>
      <c r="H224" t="s">
        <v>53</v>
      </c>
      <c r="I224" t="s">
        <v>120</v>
      </c>
      <c r="J224" s="2">
        <v>21000</v>
      </c>
      <c r="K224">
        <v>5</v>
      </c>
      <c r="L224" s="2">
        <v>0</v>
      </c>
      <c r="M224" s="2">
        <v>5171.7700000000004</v>
      </c>
      <c r="N224" t="s">
        <v>45</v>
      </c>
      <c r="O224" t="s">
        <v>25</v>
      </c>
      <c r="P224" t="s">
        <v>47</v>
      </c>
    </row>
    <row r="225" spans="1:16" x14ac:dyDescent="0.3">
      <c r="A225" t="s">
        <v>500</v>
      </c>
      <c r="B225" s="1">
        <v>45831</v>
      </c>
      <c r="C225" t="s">
        <v>501</v>
      </c>
      <c r="D225" t="s">
        <v>18</v>
      </c>
      <c r="E225" t="s">
        <v>19</v>
      </c>
      <c r="F225" t="s">
        <v>20</v>
      </c>
      <c r="G225" t="s">
        <v>76</v>
      </c>
      <c r="H225" t="s">
        <v>122</v>
      </c>
      <c r="I225" t="s">
        <v>123</v>
      </c>
      <c r="J225" s="2">
        <v>9900</v>
      </c>
      <c r="K225">
        <v>5</v>
      </c>
      <c r="L225" s="2">
        <v>0.1</v>
      </c>
      <c r="M225" s="2">
        <v>815.11</v>
      </c>
      <c r="N225" t="s">
        <v>64</v>
      </c>
      <c r="O225" t="s">
        <v>135</v>
      </c>
      <c r="P225" t="s">
        <v>47</v>
      </c>
    </row>
    <row r="226" spans="1:16" x14ac:dyDescent="0.3">
      <c r="A226" t="s">
        <v>418</v>
      </c>
      <c r="B226" s="1">
        <v>45789</v>
      </c>
      <c r="C226" t="s">
        <v>419</v>
      </c>
      <c r="D226" t="s">
        <v>134</v>
      </c>
      <c r="E226" t="s">
        <v>75</v>
      </c>
      <c r="F226" t="s">
        <v>20</v>
      </c>
      <c r="G226" t="s">
        <v>32</v>
      </c>
      <c r="H226" t="s">
        <v>84</v>
      </c>
      <c r="I226" t="s">
        <v>85</v>
      </c>
      <c r="J226" s="2">
        <v>56250</v>
      </c>
      <c r="K226">
        <v>5</v>
      </c>
      <c r="L226" s="2">
        <v>0.1</v>
      </c>
      <c r="M226" s="2">
        <v>10480.11</v>
      </c>
      <c r="N226" t="s">
        <v>24</v>
      </c>
      <c r="O226" t="s">
        <v>65</v>
      </c>
      <c r="P226" t="s">
        <v>47</v>
      </c>
    </row>
    <row r="227" spans="1:16" x14ac:dyDescent="0.3">
      <c r="A227" t="s">
        <v>1199</v>
      </c>
      <c r="B227" s="1">
        <v>46241</v>
      </c>
      <c r="C227" t="s">
        <v>242</v>
      </c>
      <c r="D227" t="s">
        <v>68</v>
      </c>
      <c r="E227" t="s">
        <v>69</v>
      </c>
      <c r="F227" t="s">
        <v>41</v>
      </c>
      <c r="G227" t="s">
        <v>21</v>
      </c>
      <c r="H227" t="s">
        <v>22</v>
      </c>
      <c r="I227" t="s">
        <v>111</v>
      </c>
      <c r="J227" s="2">
        <v>960</v>
      </c>
      <c r="K227">
        <v>4</v>
      </c>
      <c r="L227" s="2">
        <v>0.2</v>
      </c>
      <c r="M227" s="2">
        <v>168.25</v>
      </c>
      <c r="N227" t="s">
        <v>64</v>
      </c>
      <c r="O227" t="s">
        <v>71</v>
      </c>
      <c r="P227" t="s">
        <v>26</v>
      </c>
    </row>
    <row r="228" spans="1:16" x14ac:dyDescent="0.3">
      <c r="A228" t="s">
        <v>332</v>
      </c>
      <c r="B228" s="1">
        <v>45750</v>
      </c>
      <c r="C228" t="s">
        <v>333</v>
      </c>
      <c r="D228" t="s">
        <v>39</v>
      </c>
      <c r="E228" t="s">
        <v>40</v>
      </c>
      <c r="F228" t="s">
        <v>41</v>
      </c>
      <c r="G228" t="s">
        <v>21</v>
      </c>
      <c r="H228" t="s">
        <v>22</v>
      </c>
      <c r="I228" t="s">
        <v>111</v>
      </c>
      <c r="J228" s="2">
        <v>900</v>
      </c>
      <c r="K228">
        <v>3</v>
      </c>
      <c r="L228" s="2">
        <v>0</v>
      </c>
      <c r="M228" s="2">
        <v>121.83</v>
      </c>
      <c r="N228" t="s">
        <v>45</v>
      </c>
      <c r="O228" t="s">
        <v>86</v>
      </c>
      <c r="P228" t="s">
        <v>47</v>
      </c>
    </row>
    <row r="229" spans="1:16" x14ac:dyDescent="0.3">
      <c r="A229" t="s">
        <v>529</v>
      </c>
      <c r="B229" s="1">
        <v>45847</v>
      </c>
      <c r="C229" t="s">
        <v>530</v>
      </c>
      <c r="D229" t="s">
        <v>74</v>
      </c>
      <c r="E229" t="s">
        <v>75</v>
      </c>
      <c r="F229" t="s">
        <v>20</v>
      </c>
      <c r="G229" t="s">
        <v>32</v>
      </c>
      <c r="H229" t="s">
        <v>84</v>
      </c>
      <c r="I229" t="s">
        <v>85</v>
      </c>
      <c r="J229" s="2">
        <v>11250</v>
      </c>
      <c r="K229">
        <v>1</v>
      </c>
      <c r="L229" s="2">
        <v>0.1</v>
      </c>
      <c r="M229" s="2">
        <v>855.28</v>
      </c>
      <c r="N229" t="s">
        <v>24</v>
      </c>
      <c r="O229" t="s">
        <v>25</v>
      </c>
      <c r="P229" t="s">
        <v>47</v>
      </c>
    </row>
    <row r="230" spans="1:16" x14ac:dyDescent="0.3">
      <c r="A230" t="s">
        <v>810</v>
      </c>
      <c r="B230" s="1">
        <v>46001</v>
      </c>
      <c r="C230" t="s">
        <v>553</v>
      </c>
      <c r="D230" t="s">
        <v>152</v>
      </c>
      <c r="E230" t="s">
        <v>153</v>
      </c>
      <c r="F230" t="s">
        <v>20</v>
      </c>
      <c r="G230" t="s">
        <v>42</v>
      </c>
      <c r="H230" t="s">
        <v>53</v>
      </c>
      <c r="I230" t="s">
        <v>120</v>
      </c>
      <c r="J230" s="2">
        <v>23940</v>
      </c>
      <c r="K230">
        <v>6</v>
      </c>
      <c r="L230" s="2">
        <v>0.05</v>
      </c>
      <c r="M230" s="2">
        <v>2034.62</v>
      </c>
      <c r="N230" t="s">
        <v>64</v>
      </c>
      <c r="O230" t="s">
        <v>25</v>
      </c>
      <c r="P230" t="s">
        <v>26</v>
      </c>
    </row>
    <row r="231" spans="1:16" x14ac:dyDescent="0.3">
      <c r="A231" t="s">
        <v>785</v>
      </c>
      <c r="B231" s="1">
        <v>45990</v>
      </c>
      <c r="C231" t="s">
        <v>523</v>
      </c>
      <c r="D231" t="s">
        <v>74</v>
      </c>
      <c r="E231" t="s">
        <v>75</v>
      </c>
      <c r="F231" t="s">
        <v>20</v>
      </c>
      <c r="G231" t="s">
        <v>76</v>
      </c>
      <c r="H231" t="s">
        <v>77</v>
      </c>
      <c r="I231" t="s">
        <v>78</v>
      </c>
      <c r="J231" s="2">
        <v>2400</v>
      </c>
      <c r="K231">
        <v>1</v>
      </c>
      <c r="L231" s="2">
        <v>0</v>
      </c>
      <c r="M231" s="2">
        <v>516.20000000000005</v>
      </c>
      <c r="N231" t="s">
        <v>64</v>
      </c>
      <c r="O231" t="s">
        <v>86</v>
      </c>
      <c r="P231" t="s">
        <v>55</v>
      </c>
    </row>
    <row r="232" spans="1:16" x14ac:dyDescent="0.3">
      <c r="A232" t="s">
        <v>1221</v>
      </c>
      <c r="B232" s="1">
        <v>46259</v>
      </c>
      <c r="C232" t="s">
        <v>419</v>
      </c>
      <c r="D232" t="s">
        <v>68</v>
      </c>
      <c r="E232" t="s">
        <v>69</v>
      </c>
      <c r="F232" t="s">
        <v>41</v>
      </c>
      <c r="G232" t="s">
        <v>76</v>
      </c>
      <c r="H232" t="s">
        <v>77</v>
      </c>
      <c r="I232" t="s">
        <v>171</v>
      </c>
      <c r="J232" s="2">
        <v>7600</v>
      </c>
      <c r="K232">
        <v>5</v>
      </c>
      <c r="L232" s="2">
        <v>0.05</v>
      </c>
      <c r="M232" s="2">
        <v>1603.13</v>
      </c>
      <c r="N232" t="s">
        <v>35</v>
      </c>
      <c r="O232" t="s">
        <v>105</v>
      </c>
      <c r="P232" t="s">
        <v>26</v>
      </c>
    </row>
    <row r="233" spans="1:16" x14ac:dyDescent="0.3">
      <c r="A233" t="s">
        <v>1302</v>
      </c>
      <c r="B233" s="1">
        <v>46315</v>
      </c>
      <c r="C233" t="s">
        <v>790</v>
      </c>
      <c r="D233" t="s">
        <v>50</v>
      </c>
      <c r="E233" t="s">
        <v>51</v>
      </c>
      <c r="F233" t="s">
        <v>52</v>
      </c>
      <c r="G233" t="s">
        <v>61</v>
      </c>
      <c r="H233" t="s">
        <v>62</v>
      </c>
      <c r="I233" t="s">
        <v>70</v>
      </c>
      <c r="J233" s="2">
        <v>7650</v>
      </c>
      <c r="K233">
        <v>5</v>
      </c>
      <c r="L233" s="2">
        <v>0.15</v>
      </c>
      <c r="M233" s="2">
        <v>516.66</v>
      </c>
      <c r="N233" t="s">
        <v>64</v>
      </c>
      <c r="O233" t="s">
        <v>65</v>
      </c>
      <c r="P233" t="s">
        <v>47</v>
      </c>
    </row>
    <row r="234" spans="1:16" x14ac:dyDescent="0.3">
      <c r="A234" t="s">
        <v>189</v>
      </c>
      <c r="B234" s="1">
        <v>45698</v>
      </c>
      <c r="C234" t="s">
        <v>190</v>
      </c>
      <c r="D234" t="s">
        <v>104</v>
      </c>
      <c r="E234" t="s">
        <v>83</v>
      </c>
      <c r="F234" t="s">
        <v>52</v>
      </c>
      <c r="G234" t="s">
        <v>61</v>
      </c>
      <c r="H234" t="s">
        <v>98</v>
      </c>
      <c r="I234" t="s">
        <v>99</v>
      </c>
      <c r="J234" s="2">
        <v>102000</v>
      </c>
      <c r="K234">
        <v>4</v>
      </c>
      <c r="L234" s="2">
        <v>0.15</v>
      </c>
      <c r="M234" s="2">
        <v>15150.24</v>
      </c>
      <c r="N234" t="s">
        <v>114</v>
      </c>
      <c r="O234" t="s">
        <v>36</v>
      </c>
      <c r="P234" t="s">
        <v>47</v>
      </c>
    </row>
    <row r="235" spans="1:16" x14ac:dyDescent="0.3">
      <c r="A235" t="s">
        <v>1150</v>
      </c>
      <c r="B235" s="1">
        <v>46208</v>
      </c>
      <c r="C235" t="s">
        <v>597</v>
      </c>
      <c r="D235" t="s">
        <v>166</v>
      </c>
      <c r="E235" t="s">
        <v>75</v>
      </c>
      <c r="F235" t="s">
        <v>20</v>
      </c>
      <c r="G235" t="s">
        <v>76</v>
      </c>
      <c r="H235" t="s">
        <v>77</v>
      </c>
      <c r="I235" t="s">
        <v>171</v>
      </c>
      <c r="J235" s="2">
        <v>2880</v>
      </c>
      <c r="K235">
        <v>2</v>
      </c>
      <c r="L235" s="2">
        <v>0.1</v>
      </c>
      <c r="M235" s="2">
        <v>292.66000000000003</v>
      </c>
      <c r="N235" t="s">
        <v>45</v>
      </c>
      <c r="O235" t="s">
        <v>105</v>
      </c>
      <c r="P235" t="s">
        <v>47</v>
      </c>
    </row>
    <row r="236" spans="1:16" x14ac:dyDescent="0.3">
      <c r="A236" t="s">
        <v>752</v>
      </c>
      <c r="B236" s="1">
        <v>45968</v>
      </c>
      <c r="C236" t="s">
        <v>110</v>
      </c>
      <c r="D236" t="s">
        <v>39</v>
      </c>
      <c r="E236" t="s">
        <v>40</v>
      </c>
      <c r="F236" t="s">
        <v>41</v>
      </c>
      <c r="G236" t="s">
        <v>61</v>
      </c>
      <c r="H236" t="s">
        <v>62</v>
      </c>
      <c r="I236" t="s">
        <v>70</v>
      </c>
      <c r="J236" s="2">
        <v>3600</v>
      </c>
      <c r="K236">
        <v>2</v>
      </c>
      <c r="L236" s="2">
        <v>0</v>
      </c>
      <c r="M236" s="2">
        <v>591.86</v>
      </c>
      <c r="N236" t="s">
        <v>35</v>
      </c>
      <c r="O236" t="s">
        <v>105</v>
      </c>
      <c r="P236" t="s">
        <v>26</v>
      </c>
    </row>
    <row r="237" spans="1:16" x14ac:dyDescent="0.3">
      <c r="A237" t="s">
        <v>958</v>
      </c>
      <c r="B237" s="1">
        <v>46095</v>
      </c>
      <c r="C237" t="s">
        <v>836</v>
      </c>
      <c r="D237" t="s">
        <v>173</v>
      </c>
      <c r="E237" t="s">
        <v>174</v>
      </c>
      <c r="F237" t="s">
        <v>60</v>
      </c>
      <c r="G237" t="s">
        <v>21</v>
      </c>
      <c r="H237" t="s">
        <v>179</v>
      </c>
      <c r="I237" t="s">
        <v>180</v>
      </c>
      <c r="J237" s="2">
        <v>2160</v>
      </c>
      <c r="K237">
        <v>1</v>
      </c>
      <c r="L237" s="2">
        <v>0.1</v>
      </c>
      <c r="M237" s="2">
        <v>425.52</v>
      </c>
      <c r="N237" t="s">
        <v>24</v>
      </c>
      <c r="O237" t="s">
        <v>135</v>
      </c>
      <c r="P237" t="s">
        <v>26</v>
      </c>
    </row>
    <row r="238" spans="1:16" x14ac:dyDescent="0.3">
      <c r="A238" t="s">
        <v>535</v>
      </c>
      <c r="B238" s="1">
        <v>45852</v>
      </c>
      <c r="C238" t="s">
        <v>320</v>
      </c>
      <c r="D238" t="s">
        <v>152</v>
      </c>
      <c r="E238" t="s">
        <v>153</v>
      </c>
      <c r="F238" t="s">
        <v>20</v>
      </c>
      <c r="G238" t="s">
        <v>21</v>
      </c>
      <c r="H238" t="s">
        <v>22</v>
      </c>
      <c r="I238" t="s">
        <v>111</v>
      </c>
      <c r="J238" s="2">
        <v>540</v>
      </c>
      <c r="K238">
        <v>2</v>
      </c>
      <c r="L238" s="2">
        <v>0.1</v>
      </c>
      <c r="M238" s="2">
        <v>62.86</v>
      </c>
      <c r="N238" t="s">
        <v>64</v>
      </c>
      <c r="O238" t="s">
        <v>46</v>
      </c>
      <c r="P238" t="s">
        <v>55</v>
      </c>
    </row>
    <row r="239" spans="1:16" x14ac:dyDescent="0.3">
      <c r="A239" t="s">
        <v>730</v>
      </c>
      <c r="B239" s="1">
        <v>45947</v>
      </c>
      <c r="C239" t="s">
        <v>588</v>
      </c>
      <c r="D239" t="s">
        <v>29</v>
      </c>
      <c r="E239" t="s">
        <v>30</v>
      </c>
      <c r="F239" t="s">
        <v>31</v>
      </c>
      <c r="G239" t="s">
        <v>61</v>
      </c>
      <c r="H239" t="s">
        <v>98</v>
      </c>
      <c r="I239" t="s">
        <v>156</v>
      </c>
      <c r="J239" s="2">
        <v>38000</v>
      </c>
      <c r="K239">
        <v>1</v>
      </c>
      <c r="L239" s="2">
        <v>0</v>
      </c>
      <c r="M239" s="2">
        <v>6026.6</v>
      </c>
      <c r="N239" t="s">
        <v>24</v>
      </c>
      <c r="O239" t="s">
        <v>105</v>
      </c>
      <c r="P239" t="s">
        <v>26</v>
      </c>
    </row>
    <row r="240" spans="1:16" x14ac:dyDescent="0.3">
      <c r="A240" t="s">
        <v>1030</v>
      </c>
      <c r="B240" s="1">
        <v>46136</v>
      </c>
      <c r="C240" t="s">
        <v>412</v>
      </c>
      <c r="D240" t="s">
        <v>119</v>
      </c>
      <c r="E240" t="s">
        <v>75</v>
      </c>
      <c r="F240" t="s">
        <v>20</v>
      </c>
      <c r="G240" t="s">
        <v>76</v>
      </c>
      <c r="H240" t="s">
        <v>77</v>
      </c>
      <c r="I240" t="s">
        <v>78</v>
      </c>
      <c r="J240" s="2">
        <v>10800</v>
      </c>
      <c r="K240">
        <v>5</v>
      </c>
      <c r="L240" s="2">
        <v>0.1</v>
      </c>
      <c r="M240" s="2">
        <v>1627.72</v>
      </c>
      <c r="N240" t="s">
        <v>64</v>
      </c>
      <c r="O240" t="s">
        <v>79</v>
      </c>
      <c r="P240" t="s">
        <v>26</v>
      </c>
    </row>
    <row r="241" spans="1:16" x14ac:dyDescent="0.3">
      <c r="A241" t="s">
        <v>954</v>
      </c>
      <c r="B241" s="1">
        <v>46091</v>
      </c>
      <c r="C241" t="s">
        <v>490</v>
      </c>
      <c r="D241" t="s">
        <v>18</v>
      </c>
      <c r="E241" t="s">
        <v>19</v>
      </c>
      <c r="F241" t="s">
        <v>20</v>
      </c>
      <c r="G241" t="s">
        <v>32</v>
      </c>
      <c r="H241" t="s">
        <v>84</v>
      </c>
      <c r="I241" t="s">
        <v>85</v>
      </c>
      <c r="J241" s="2">
        <v>45000</v>
      </c>
      <c r="K241">
        <v>4</v>
      </c>
      <c r="L241" s="2">
        <v>0.1</v>
      </c>
      <c r="M241" s="2">
        <v>4247.0200000000004</v>
      </c>
      <c r="N241" t="s">
        <v>45</v>
      </c>
      <c r="O241" t="s">
        <v>135</v>
      </c>
      <c r="P241" t="s">
        <v>55</v>
      </c>
    </row>
    <row r="242" spans="1:16" x14ac:dyDescent="0.3">
      <c r="A242" t="s">
        <v>667</v>
      </c>
      <c r="B242" s="1">
        <v>45919</v>
      </c>
      <c r="C242" t="s">
        <v>219</v>
      </c>
      <c r="D242" t="s">
        <v>39</v>
      </c>
      <c r="E242" t="s">
        <v>40</v>
      </c>
      <c r="F242" t="s">
        <v>41</v>
      </c>
      <c r="G242" t="s">
        <v>32</v>
      </c>
      <c r="H242" t="s">
        <v>33</v>
      </c>
      <c r="I242" t="s">
        <v>34</v>
      </c>
      <c r="J242" s="2">
        <v>37200</v>
      </c>
      <c r="K242">
        <v>6</v>
      </c>
      <c r="L242" s="2">
        <v>0</v>
      </c>
      <c r="M242" s="2">
        <v>5862.62</v>
      </c>
      <c r="N242" t="s">
        <v>35</v>
      </c>
      <c r="O242" t="s">
        <v>105</v>
      </c>
      <c r="P242" t="s">
        <v>47</v>
      </c>
    </row>
    <row r="243" spans="1:16" x14ac:dyDescent="0.3">
      <c r="A243" t="s">
        <v>541</v>
      </c>
      <c r="B243" s="1">
        <v>45858</v>
      </c>
      <c r="C243" t="s">
        <v>542</v>
      </c>
      <c r="D243" t="s">
        <v>39</v>
      </c>
      <c r="E243" t="s">
        <v>40</v>
      </c>
      <c r="F243" t="s">
        <v>41</v>
      </c>
      <c r="G243" t="s">
        <v>32</v>
      </c>
      <c r="H243" t="s">
        <v>84</v>
      </c>
      <c r="I243" t="s">
        <v>85</v>
      </c>
      <c r="J243" s="2">
        <v>56250</v>
      </c>
      <c r="K243">
        <v>5</v>
      </c>
      <c r="L243" s="2">
        <v>0.1</v>
      </c>
      <c r="M243" s="2">
        <v>8655.58</v>
      </c>
      <c r="N243" t="s">
        <v>114</v>
      </c>
      <c r="O243" t="s">
        <v>65</v>
      </c>
      <c r="P243" t="s">
        <v>26</v>
      </c>
    </row>
    <row r="244" spans="1:16" x14ac:dyDescent="0.3">
      <c r="A244" t="s">
        <v>833</v>
      </c>
      <c r="B244" s="1">
        <v>46022</v>
      </c>
      <c r="C244" t="s">
        <v>834</v>
      </c>
      <c r="D244" t="s">
        <v>39</v>
      </c>
      <c r="E244" t="s">
        <v>40</v>
      </c>
      <c r="F244" t="s">
        <v>41</v>
      </c>
      <c r="G244" t="s">
        <v>76</v>
      </c>
      <c r="H244" t="s">
        <v>122</v>
      </c>
      <c r="I244" t="s">
        <v>217</v>
      </c>
      <c r="J244" s="2">
        <v>5760</v>
      </c>
      <c r="K244">
        <v>4</v>
      </c>
      <c r="L244" s="2">
        <v>0.2</v>
      </c>
      <c r="M244" s="2">
        <v>892.4</v>
      </c>
      <c r="N244" t="s">
        <v>35</v>
      </c>
      <c r="O244" t="s">
        <v>71</v>
      </c>
      <c r="P244" t="s">
        <v>26</v>
      </c>
    </row>
    <row r="245" spans="1:16" x14ac:dyDescent="0.3">
      <c r="A245" t="s">
        <v>1070</v>
      </c>
      <c r="B245" s="1">
        <v>46156</v>
      </c>
      <c r="C245" t="s">
        <v>884</v>
      </c>
      <c r="D245" t="s">
        <v>74</v>
      </c>
      <c r="E245" t="s">
        <v>75</v>
      </c>
      <c r="F245" t="s">
        <v>20</v>
      </c>
      <c r="G245" t="s">
        <v>61</v>
      </c>
      <c r="H245" t="s">
        <v>62</v>
      </c>
      <c r="I245" t="s">
        <v>63</v>
      </c>
      <c r="J245" s="2">
        <v>4860</v>
      </c>
      <c r="K245">
        <v>6</v>
      </c>
      <c r="L245" s="2">
        <v>0.1</v>
      </c>
      <c r="M245" s="2">
        <v>552.58000000000004</v>
      </c>
      <c r="N245" t="s">
        <v>114</v>
      </c>
      <c r="O245" t="s">
        <v>135</v>
      </c>
      <c r="P245" t="s">
        <v>26</v>
      </c>
    </row>
    <row r="246" spans="1:16" x14ac:dyDescent="0.3">
      <c r="A246" t="s">
        <v>577</v>
      </c>
      <c r="B246" s="1">
        <v>45871</v>
      </c>
      <c r="C246" t="s">
        <v>249</v>
      </c>
      <c r="D246" t="s">
        <v>96</v>
      </c>
      <c r="E246" t="s">
        <v>97</v>
      </c>
      <c r="F246" t="s">
        <v>20</v>
      </c>
      <c r="G246" t="s">
        <v>42</v>
      </c>
      <c r="H246" t="s">
        <v>279</v>
      </c>
      <c r="I246" t="s">
        <v>280</v>
      </c>
      <c r="J246" s="2">
        <v>31875</v>
      </c>
      <c r="K246">
        <v>3</v>
      </c>
      <c r="L246" s="2">
        <v>0.15</v>
      </c>
      <c r="M246" s="2">
        <v>6850.2</v>
      </c>
      <c r="N246" t="s">
        <v>114</v>
      </c>
      <c r="O246" t="s">
        <v>86</v>
      </c>
      <c r="P246" t="s">
        <v>26</v>
      </c>
    </row>
    <row r="247" spans="1:16" x14ac:dyDescent="0.3">
      <c r="A247" t="s">
        <v>1335</v>
      </c>
      <c r="B247" s="1">
        <v>46342</v>
      </c>
      <c r="C247" t="s">
        <v>116</v>
      </c>
      <c r="D247" t="s">
        <v>119</v>
      </c>
      <c r="E247" t="s">
        <v>75</v>
      </c>
      <c r="F247" t="s">
        <v>20</v>
      </c>
      <c r="G247" t="s">
        <v>42</v>
      </c>
      <c r="H247" t="s">
        <v>53</v>
      </c>
      <c r="I247" t="s">
        <v>54</v>
      </c>
      <c r="J247" s="2">
        <v>5400</v>
      </c>
      <c r="K247">
        <v>3</v>
      </c>
      <c r="L247" s="2">
        <v>0</v>
      </c>
      <c r="M247" s="2">
        <v>1072.46</v>
      </c>
      <c r="N247" t="s">
        <v>114</v>
      </c>
      <c r="O247" t="s">
        <v>79</v>
      </c>
      <c r="P247" t="s">
        <v>55</v>
      </c>
    </row>
    <row r="248" spans="1:16" x14ac:dyDescent="0.3">
      <c r="A248" t="s">
        <v>461</v>
      </c>
      <c r="B248" s="1">
        <v>45804</v>
      </c>
      <c r="C248" t="s">
        <v>462</v>
      </c>
      <c r="D248" t="s">
        <v>152</v>
      </c>
      <c r="E248" t="s">
        <v>153</v>
      </c>
      <c r="F248" t="s">
        <v>20</v>
      </c>
      <c r="G248" t="s">
        <v>61</v>
      </c>
      <c r="H248" t="s">
        <v>128</v>
      </c>
      <c r="I248" t="s">
        <v>129</v>
      </c>
      <c r="J248" s="2">
        <v>187200</v>
      </c>
      <c r="K248">
        <v>4</v>
      </c>
      <c r="L248" s="2">
        <v>0.1</v>
      </c>
      <c r="M248" s="2">
        <v>13515.12</v>
      </c>
      <c r="N248" t="s">
        <v>24</v>
      </c>
      <c r="O248" t="s">
        <v>65</v>
      </c>
      <c r="P248" t="s">
        <v>47</v>
      </c>
    </row>
    <row r="249" spans="1:16" x14ac:dyDescent="0.3">
      <c r="A249" t="s">
        <v>1372</v>
      </c>
      <c r="B249" s="1">
        <v>46372</v>
      </c>
      <c r="C249" t="s">
        <v>318</v>
      </c>
      <c r="D249" t="s">
        <v>96</v>
      </c>
      <c r="E249" t="s">
        <v>97</v>
      </c>
      <c r="F249" t="s">
        <v>20</v>
      </c>
      <c r="G249" t="s">
        <v>32</v>
      </c>
      <c r="H249" t="s">
        <v>84</v>
      </c>
      <c r="I249" t="s">
        <v>85</v>
      </c>
      <c r="J249" s="2">
        <v>67500</v>
      </c>
      <c r="K249">
        <v>6</v>
      </c>
      <c r="L249" s="2">
        <v>0.1</v>
      </c>
      <c r="M249" s="2">
        <v>12361.28</v>
      </c>
      <c r="N249" t="s">
        <v>64</v>
      </c>
      <c r="O249" t="s">
        <v>135</v>
      </c>
      <c r="P249" t="s">
        <v>26</v>
      </c>
    </row>
    <row r="250" spans="1:16" x14ac:dyDescent="0.3">
      <c r="A250" t="s">
        <v>487</v>
      </c>
      <c r="B250" s="1">
        <v>45820</v>
      </c>
      <c r="C250" t="s">
        <v>377</v>
      </c>
      <c r="D250" t="s">
        <v>173</v>
      </c>
      <c r="E250" t="s">
        <v>174</v>
      </c>
      <c r="F250" t="s">
        <v>60</v>
      </c>
      <c r="G250" t="s">
        <v>21</v>
      </c>
      <c r="H250" t="s">
        <v>175</v>
      </c>
      <c r="I250" t="s">
        <v>176</v>
      </c>
      <c r="J250" s="2">
        <v>1755</v>
      </c>
      <c r="K250">
        <v>3</v>
      </c>
      <c r="L250" s="2">
        <v>0.1</v>
      </c>
      <c r="M250" s="2">
        <v>325.05</v>
      </c>
      <c r="N250" t="s">
        <v>64</v>
      </c>
      <c r="O250" t="s">
        <v>86</v>
      </c>
      <c r="P250" t="s">
        <v>26</v>
      </c>
    </row>
    <row r="251" spans="1:16" x14ac:dyDescent="0.3">
      <c r="A251" t="s">
        <v>1061</v>
      </c>
      <c r="B251" s="1">
        <v>46151</v>
      </c>
      <c r="C251" t="s">
        <v>316</v>
      </c>
      <c r="D251" t="s">
        <v>119</v>
      </c>
      <c r="E251" t="s">
        <v>75</v>
      </c>
      <c r="F251" t="s">
        <v>20</v>
      </c>
      <c r="G251" t="s">
        <v>21</v>
      </c>
      <c r="H251" t="s">
        <v>22</v>
      </c>
      <c r="I251" t="s">
        <v>23</v>
      </c>
      <c r="J251" s="2">
        <v>1282.5</v>
      </c>
      <c r="K251">
        <v>3</v>
      </c>
      <c r="L251" s="2">
        <v>0.05</v>
      </c>
      <c r="M251" s="2">
        <v>164.87</v>
      </c>
      <c r="N251" t="s">
        <v>114</v>
      </c>
      <c r="O251" t="s">
        <v>79</v>
      </c>
      <c r="P251" t="s">
        <v>55</v>
      </c>
    </row>
    <row r="252" spans="1:16" x14ac:dyDescent="0.3">
      <c r="A252" t="s">
        <v>1144</v>
      </c>
      <c r="B252" s="1">
        <v>46204</v>
      </c>
      <c r="C252" t="s">
        <v>396</v>
      </c>
      <c r="D252" t="s">
        <v>74</v>
      </c>
      <c r="E252" t="s">
        <v>75</v>
      </c>
      <c r="F252" t="s">
        <v>20</v>
      </c>
      <c r="G252" t="s">
        <v>42</v>
      </c>
      <c r="H252" t="s">
        <v>53</v>
      </c>
      <c r="I252" t="s">
        <v>54</v>
      </c>
      <c r="J252" s="2">
        <v>9720</v>
      </c>
      <c r="K252">
        <v>6</v>
      </c>
      <c r="L252" s="2">
        <v>0.1</v>
      </c>
      <c r="M252" s="2">
        <v>2290.2800000000002</v>
      </c>
      <c r="N252" t="s">
        <v>45</v>
      </c>
      <c r="O252" t="s">
        <v>71</v>
      </c>
      <c r="P252" t="s">
        <v>47</v>
      </c>
    </row>
    <row r="253" spans="1:16" x14ac:dyDescent="0.3">
      <c r="A253" t="s">
        <v>1146</v>
      </c>
      <c r="B253" s="1">
        <v>46206</v>
      </c>
      <c r="C253" t="s">
        <v>755</v>
      </c>
      <c r="D253" t="s">
        <v>119</v>
      </c>
      <c r="E253" t="s">
        <v>75</v>
      </c>
      <c r="F253" t="s">
        <v>20</v>
      </c>
      <c r="G253" t="s">
        <v>61</v>
      </c>
      <c r="H253" t="s">
        <v>62</v>
      </c>
      <c r="I253" t="s">
        <v>70</v>
      </c>
      <c r="J253" s="2">
        <v>4860</v>
      </c>
      <c r="K253">
        <v>3</v>
      </c>
      <c r="L253" s="2">
        <v>0.1</v>
      </c>
      <c r="M253" s="2">
        <v>1139.3</v>
      </c>
      <c r="N253" t="s">
        <v>114</v>
      </c>
      <c r="O253" t="s">
        <v>36</v>
      </c>
      <c r="P253" t="s">
        <v>55</v>
      </c>
    </row>
    <row r="254" spans="1:16" x14ac:dyDescent="0.3">
      <c r="A254" t="s">
        <v>823</v>
      </c>
      <c r="B254" s="1">
        <v>46015</v>
      </c>
      <c r="C254" t="s">
        <v>356</v>
      </c>
      <c r="D254" t="s">
        <v>119</v>
      </c>
      <c r="E254" t="s">
        <v>75</v>
      </c>
      <c r="F254" t="s">
        <v>20</v>
      </c>
      <c r="G254" t="s">
        <v>42</v>
      </c>
      <c r="H254" t="s">
        <v>53</v>
      </c>
      <c r="I254" t="s">
        <v>54</v>
      </c>
      <c r="J254" s="2">
        <v>1620</v>
      </c>
      <c r="K254">
        <v>1</v>
      </c>
      <c r="L254" s="2">
        <v>0.1</v>
      </c>
      <c r="M254" s="2">
        <v>201.19</v>
      </c>
      <c r="N254" t="s">
        <v>45</v>
      </c>
      <c r="O254" t="s">
        <v>71</v>
      </c>
      <c r="P254" t="s">
        <v>26</v>
      </c>
    </row>
    <row r="255" spans="1:16" x14ac:dyDescent="0.3">
      <c r="A255" t="s">
        <v>1297</v>
      </c>
      <c r="B255" s="1">
        <v>46313</v>
      </c>
      <c r="C255" t="s">
        <v>749</v>
      </c>
      <c r="D255" t="s">
        <v>39</v>
      </c>
      <c r="E255" t="s">
        <v>40</v>
      </c>
      <c r="F255" t="s">
        <v>41</v>
      </c>
      <c r="G255" t="s">
        <v>61</v>
      </c>
      <c r="H255" t="s">
        <v>62</v>
      </c>
      <c r="I255" t="s">
        <v>70</v>
      </c>
      <c r="J255" s="2">
        <v>3600</v>
      </c>
      <c r="K255">
        <v>2</v>
      </c>
      <c r="L255" s="2">
        <v>0</v>
      </c>
      <c r="M255" s="2">
        <v>648.45000000000005</v>
      </c>
      <c r="N255" t="s">
        <v>35</v>
      </c>
      <c r="O255" t="s">
        <v>71</v>
      </c>
      <c r="P255" t="s">
        <v>47</v>
      </c>
    </row>
    <row r="256" spans="1:16" x14ac:dyDescent="0.3">
      <c r="A256" t="s">
        <v>1258</v>
      </c>
      <c r="B256" s="1">
        <v>46289</v>
      </c>
      <c r="C256" t="s">
        <v>162</v>
      </c>
      <c r="D256" t="s">
        <v>39</v>
      </c>
      <c r="E256" t="s">
        <v>40</v>
      </c>
      <c r="F256" t="s">
        <v>41</v>
      </c>
      <c r="G256" t="s">
        <v>21</v>
      </c>
      <c r="H256" t="s">
        <v>179</v>
      </c>
      <c r="I256" t="s">
        <v>180</v>
      </c>
      <c r="J256" s="2">
        <v>8160</v>
      </c>
      <c r="K256">
        <v>4</v>
      </c>
      <c r="L256" s="2">
        <v>0.15</v>
      </c>
      <c r="M256" s="2">
        <v>1210.73</v>
      </c>
      <c r="N256" t="s">
        <v>64</v>
      </c>
      <c r="O256" t="s">
        <v>25</v>
      </c>
      <c r="P256" t="s">
        <v>26</v>
      </c>
    </row>
    <row r="257" spans="1:16" x14ac:dyDescent="0.3">
      <c r="A257" t="s">
        <v>795</v>
      </c>
      <c r="B257" s="1">
        <v>45994</v>
      </c>
      <c r="C257" t="s">
        <v>155</v>
      </c>
      <c r="D257" t="s">
        <v>173</v>
      </c>
      <c r="E257" t="s">
        <v>174</v>
      </c>
      <c r="F257" t="s">
        <v>60</v>
      </c>
      <c r="G257" t="s">
        <v>76</v>
      </c>
      <c r="H257" t="s">
        <v>77</v>
      </c>
      <c r="I257" t="s">
        <v>171</v>
      </c>
      <c r="J257" s="2">
        <v>4560</v>
      </c>
      <c r="K257">
        <v>3</v>
      </c>
      <c r="L257" s="2">
        <v>0.05</v>
      </c>
      <c r="M257" s="2">
        <v>941.41</v>
      </c>
      <c r="N257" t="s">
        <v>24</v>
      </c>
      <c r="O257" t="s">
        <v>86</v>
      </c>
      <c r="P257" t="s">
        <v>47</v>
      </c>
    </row>
    <row r="258" spans="1:16" x14ac:dyDescent="0.3">
      <c r="A258" t="s">
        <v>141</v>
      </c>
      <c r="B258" s="1">
        <v>45679</v>
      </c>
      <c r="C258" t="s">
        <v>142</v>
      </c>
      <c r="D258" t="s">
        <v>134</v>
      </c>
      <c r="E258" t="s">
        <v>75</v>
      </c>
      <c r="F258" t="s">
        <v>20</v>
      </c>
      <c r="G258" t="s">
        <v>21</v>
      </c>
      <c r="H258" t="s">
        <v>22</v>
      </c>
      <c r="I258" t="s">
        <v>111</v>
      </c>
      <c r="J258" s="2">
        <v>1620</v>
      </c>
      <c r="K258">
        <v>6</v>
      </c>
      <c r="L258" s="2">
        <v>0.1</v>
      </c>
      <c r="M258" s="2">
        <v>192.62</v>
      </c>
      <c r="N258" t="s">
        <v>45</v>
      </c>
      <c r="O258" t="s">
        <v>46</v>
      </c>
      <c r="P258" t="s">
        <v>47</v>
      </c>
    </row>
    <row r="259" spans="1:16" x14ac:dyDescent="0.3">
      <c r="A259" t="s">
        <v>1373</v>
      </c>
      <c r="B259" s="1">
        <v>46373</v>
      </c>
      <c r="C259" t="s">
        <v>645</v>
      </c>
      <c r="D259" t="s">
        <v>68</v>
      </c>
      <c r="E259" t="s">
        <v>69</v>
      </c>
      <c r="F259" t="s">
        <v>41</v>
      </c>
      <c r="G259" t="s">
        <v>21</v>
      </c>
      <c r="H259" t="s">
        <v>22</v>
      </c>
      <c r="I259" t="s">
        <v>111</v>
      </c>
      <c r="J259" s="2">
        <v>600</v>
      </c>
      <c r="K259">
        <v>2</v>
      </c>
      <c r="L259" s="2">
        <v>0</v>
      </c>
      <c r="M259" s="2">
        <v>123.55</v>
      </c>
      <c r="N259" t="s">
        <v>64</v>
      </c>
      <c r="O259" t="s">
        <v>25</v>
      </c>
      <c r="P259" t="s">
        <v>47</v>
      </c>
    </row>
    <row r="260" spans="1:16" x14ac:dyDescent="0.3">
      <c r="A260" t="s">
        <v>887</v>
      </c>
      <c r="B260" s="1">
        <v>46047</v>
      </c>
      <c r="C260" t="s">
        <v>324</v>
      </c>
      <c r="D260" t="s">
        <v>39</v>
      </c>
      <c r="E260" t="s">
        <v>40</v>
      </c>
      <c r="F260" t="s">
        <v>41</v>
      </c>
      <c r="G260" t="s">
        <v>61</v>
      </c>
      <c r="H260" t="s">
        <v>62</v>
      </c>
      <c r="I260" t="s">
        <v>70</v>
      </c>
      <c r="J260" s="2">
        <v>9180</v>
      </c>
      <c r="K260">
        <v>6</v>
      </c>
      <c r="L260" s="2">
        <v>0.15</v>
      </c>
      <c r="M260" s="2">
        <v>1672.13</v>
      </c>
      <c r="N260" t="s">
        <v>64</v>
      </c>
      <c r="O260" t="s">
        <v>36</v>
      </c>
      <c r="P260" t="s">
        <v>26</v>
      </c>
    </row>
    <row r="261" spans="1:16" x14ac:dyDescent="0.3">
      <c r="A261" t="s">
        <v>445</v>
      </c>
      <c r="B261" s="1">
        <v>45798</v>
      </c>
      <c r="C261" t="s">
        <v>446</v>
      </c>
      <c r="D261" t="s">
        <v>50</v>
      </c>
      <c r="E261" t="s">
        <v>51</v>
      </c>
      <c r="F261" t="s">
        <v>52</v>
      </c>
      <c r="G261" t="s">
        <v>32</v>
      </c>
      <c r="H261" t="s">
        <v>33</v>
      </c>
      <c r="I261" t="s">
        <v>34</v>
      </c>
      <c r="J261" s="2">
        <v>11780</v>
      </c>
      <c r="K261">
        <v>2</v>
      </c>
      <c r="L261" s="2">
        <v>0.05</v>
      </c>
      <c r="M261" s="2">
        <v>2719.14</v>
      </c>
      <c r="N261" t="s">
        <v>24</v>
      </c>
      <c r="O261" t="s">
        <v>135</v>
      </c>
      <c r="P261" t="s">
        <v>26</v>
      </c>
    </row>
    <row r="262" spans="1:16" x14ac:dyDescent="0.3">
      <c r="A262" t="s">
        <v>502</v>
      </c>
      <c r="B262" s="1">
        <v>45832</v>
      </c>
      <c r="C262" t="s">
        <v>503</v>
      </c>
      <c r="D262" t="s">
        <v>119</v>
      </c>
      <c r="E262" t="s">
        <v>75</v>
      </c>
      <c r="F262" t="s">
        <v>20</v>
      </c>
      <c r="G262" t="s">
        <v>42</v>
      </c>
      <c r="H262" t="s">
        <v>53</v>
      </c>
      <c r="I262" t="s">
        <v>54</v>
      </c>
      <c r="J262" s="2">
        <v>8550</v>
      </c>
      <c r="K262">
        <v>5</v>
      </c>
      <c r="L262" s="2">
        <v>0.05</v>
      </c>
      <c r="M262" s="2">
        <v>1714.47</v>
      </c>
      <c r="N262" t="s">
        <v>114</v>
      </c>
      <c r="O262" t="s">
        <v>25</v>
      </c>
      <c r="P262" t="s">
        <v>55</v>
      </c>
    </row>
    <row r="263" spans="1:16" x14ac:dyDescent="0.3">
      <c r="A263" t="s">
        <v>734</v>
      </c>
      <c r="B263" s="1">
        <v>45950</v>
      </c>
      <c r="C263" t="s">
        <v>387</v>
      </c>
      <c r="D263" t="s">
        <v>119</v>
      </c>
      <c r="E263" t="s">
        <v>75</v>
      </c>
      <c r="F263" t="s">
        <v>20</v>
      </c>
      <c r="G263" t="s">
        <v>42</v>
      </c>
      <c r="H263" t="s">
        <v>53</v>
      </c>
      <c r="I263" t="s">
        <v>120</v>
      </c>
      <c r="J263" s="2">
        <v>23940</v>
      </c>
      <c r="K263">
        <v>6</v>
      </c>
      <c r="L263" s="2">
        <v>0.05</v>
      </c>
      <c r="M263" s="2">
        <v>4055.67</v>
      </c>
      <c r="N263" t="s">
        <v>114</v>
      </c>
      <c r="O263" t="s">
        <v>79</v>
      </c>
      <c r="P263" t="s">
        <v>55</v>
      </c>
    </row>
    <row r="264" spans="1:16" x14ac:dyDescent="0.3">
      <c r="A264" t="s">
        <v>985</v>
      </c>
      <c r="B264" s="1">
        <v>46112</v>
      </c>
      <c r="C264" t="s">
        <v>678</v>
      </c>
      <c r="D264" t="s">
        <v>68</v>
      </c>
      <c r="E264" t="s">
        <v>69</v>
      </c>
      <c r="F264" t="s">
        <v>41</v>
      </c>
      <c r="G264" t="s">
        <v>76</v>
      </c>
      <c r="H264" t="s">
        <v>77</v>
      </c>
      <c r="I264" t="s">
        <v>78</v>
      </c>
      <c r="J264" s="2">
        <v>4320</v>
      </c>
      <c r="K264">
        <v>2</v>
      </c>
      <c r="L264" s="2">
        <v>0.1</v>
      </c>
      <c r="M264" s="2">
        <v>989.83</v>
      </c>
      <c r="N264" t="s">
        <v>35</v>
      </c>
      <c r="O264" t="s">
        <v>105</v>
      </c>
      <c r="P264" t="s">
        <v>26</v>
      </c>
    </row>
    <row r="265" spans="1:16" x14ac:dyDescent="0.3">
      <c r="A265" t="s">
        <v>350</v>
      </c>
      <c r="B265" s="1">
        <v>45757</v>
      </c>
      <c r="C265" t="s">
        <v>351</v>
      </c>
      <c r="D265" t="s">
        <v>134</v>
      </c>
      <c r="E265" t="s">
        <v>75</v>
      </c>
      <c r="F265" t="s">
        <v>20</v>
      </c>
      <c r="G265" t="s">
        <v>76</v>
      </c>
      <c r="H265" t="s">
        <v>122</v>
      </c>
      <c r="I265" t="s">
        <v>123</v>
      </c>
      <c r="J265" s="2">
        <v>1980</v>
      </c>
      <c r="K265">
        <v>1</v>
      </c>
      <c r="L265" s="2">
        <v>0.1</v>
      </c>
      <c r="M265" s="2">
        <v>318.10000000000002</v>
      </c>
      <c r="N265" t="s">
        <v>114</v>
      </c>
      <c r="O265" t="s">
        <v>71</v>
      </c>
      <c r="P265" t="s">
        <v>26</v>
      </c>
    </row>
    <row r="266" spans="1:16" x14ac:dyDescent="0.3">
      <c r="A266" t="s">
        <v>1132</v>
      </c>
      <c r="B266" s="1">
        <v>46197</v>
      </c>
      <c r="C266" t="s">
        <v>1043</v>
      </c>
      <c r="D266" t="s">
        <v>18</v>
      </c>
      <c r="E266" t="s">
        <v>19</v>
      </c>
      <c r="F266" t="s">
        <v>20</v>
      </c>
      <c r="G266" t="s">
        <v>76</v>
      </c>
      <c r="H266" t="s">
        <v>122</v>
      </c>
      <c r="I266" t="s">
        <v>123</v>
      </c>
      <c r="J266" s="2">
        <v>3960</v>
      </c>
      <c r="K266">
        <v>2</v>
      </c>
      <c r="L266" s="2">
        <v>0.1</v>
      </c>
      <c r="M266" s="2">
        <v>1066.81</v>
      </c>
      <c r="N266" t="s">
        <v>64</v>
      </c>
      <c r="O266" t="s">
        <v>65</v>
      </c>
      <c r="P266" t="s">
        <v>26</v>
      </c>
    </row>
    <row r="267" spans="1:16" x14ac:dyDescent="0.3">
      <c r="A267" t="s">
        <v>214</v>
      </c>
      <c r="B267" s="1">
        <v>45710</v>
      </c>
      <c r="C267" t="s">
        <v>201</v>
      </c>
      <c r="D267" t="s">
        <v>68</v>
      </c>
      <c r="E267" t="s">
        <v>69</v>
      </c>
      <c r="F267" t="s">
        <v>41</v>
      </c>
      <c r="G267" t="s">
        <v>61</v>
      </c>
      <c r="H267" t="s">
        <v>62</v>
      </c>
      <c r="I267" t="s">
        <v>63</v>
      </c>
      <c r="J267" s="2">
        <v>765</v>
      </c>
      <c r="K267">
        <v>1</v>
      </c>
      <c r="L267" s="2">
        <v>0.15</v>
      </c>
      <c r="M267" s="2">
        <v>168.87</v>
      </c>
      <c r="N267" t="s">
        <v>114</v>
      </c>
      <c r="O267" t="s">
        <v>105</v>
      </c>
      <c r="P267" t="s">
        <v>47</v>
      </c>
    </row>
    <row r="268" spans="1:16" x14ac:dyDescent="0.3">
      <c r="A268" t="s">
        <v>1235</v>
      </c>
      <c r="B268" s="1">
        <v>46271</v>
      </c>
      <c r="C268" t="s">
        <v>192</v>
      </c>
      <c r="D268" t="s">
        <v>18</v>
      </c>
      <c r="E268" t="s">
        <v>19</v>
      </c>
      <c r="F268" t="s">
        <v>20</v>
      </c>
      <c r="G268" t="s">
        <v>42</v>
      </c>
      <c r="H268" t="s">
        <v>53</v>
      </c>
      <c r="I268" t="s">
        <v>120</v>
      </c>
      <c r="J268" s="2">
        <v>14280</v>
      </c>
      <c r="K268">
        <v>4</v>
      </c>
      <c r="L268" s="2">
        <v>0.15</v>
      </c>
      <c r="M268" s="2">
        <v>967.35</v>
      </c>
      <c r="N268" t="s">
        <v>24</v>
      </c>
      <c r="O268" t="s">
        <v>86</v>
      </c>
      <c r="P268" t="s">
        <v>26</v>
      </c>
    </row>
    <row r="269" spans="1:16" x14ac:dyDescent="0.3">
      <c r="A269" t="s">
        <v>1338</v>
      </c>
      <c r="B269" s="1">
        <v>46344</v>
      </c>
      <c r="C269" t="s">
        <v>628</v>
      </c>
      <c r="D269" t="s">
        <v>50</v>
      </c>
      <c r="E269" t="s">
        <v>51</v>
      </c>
      <c r="F269" t="s">
        <v>52</v>
      </c>
      <c r="G269" t="s">
        <v>76</v>
      </c>
      <c r="H269" t="s">
        <v>122</v>
      </c>
      <c r="I269" t="s">
        <v>217</v>
      </c>
      <c r="J269" s="2">
        <v>6840</v>
      </c>
      <c r="K269">
        <v>4</v>
      </c>
      <c r="L269" s="2">
        <v>0.05</v>
      </c>
      <c r="M269" s="2">
        <v>1557.38</v>
      </c>
      <c r="N269" t="s">
        <v>24</v>
      </c>
      <c r="O269" t="s">
        <v>108</v>
      </c>
      <c r="P269" t="s">
        <v>55</v>
      </c>
    </row>
    <row r="270" spans="1:16" x14ac:dyDescent="0.3">
      <c r="A270" t="s">
        <v>1075</v>
      </c>
      <c r="B270" s="1">
        <v>46158</v>
      </c>
      <c r="C270" t="s">
        <v>684</v>
      </c>
      <c r="D270" t="s">
        <v>82</v>
      </c>
      <c r="E270" t="s">
        <v>83</v>
      </c>
      <c r="F270" t="s">
        <v>52</v>
      </c>
      <c r="G270" t="s">
        <v>61</v>
      </c>
      <c r="H270" t="s">
        <v>98</v>
      </c>
      <c r="I270" t="s">
        <v>156</v>
      </c>
      <c r="J270" s="2">
        <v>216600</v>
      </c>
      <c r="K270">
        <v>6</v>
      </c>
      <c r="L270" s="2">
        <v>0.05</v>
      </c>
      <c r="M270" s="2">
        <v>24187.79</v>
      </c>
      <c r="N270" t="s">
        <v>35</v>
      </c>
      <c r="O270" t="s">
        <v>46</v>
      </c>
      <c r="P270" t="s">
        <v>26</v>
      </c>
    </row>
    <row r="271" spans="1:16" x14ac:dyDescent="0.3">
      <c r="A271" t="s">
        <v>744</v>
      </c>
      <c r="B271" s="1">
        <v>45964</v>
      </c>
      <c r="C271" t="s">
        <v>618</v>
      </c>
      <c r="D271" t="s">
        <v>173</v>
      </c>
      <c r="E271" t="s">
        <v>174</v>
      </c>
      <c r="F271" t="s">
        <v>60</v>
      </c>
      <c r="G271" t="s">
        <v>21</v>
      </c>
      <c r="H271" t="s">
        <v>175</v>
      </c>
      <c r="I271" t="s">
        <v>176</v>
      </c>
      <c r="J271" s="2">
        <v>1755</v>
      </c>
      <c r="K271">
        <v>3</v>
      </c>
      <c r="L271" s="2">
        <v>0.1</v>
      </c>
      <c r="M271" s="2">
        <v>308.68</v>
      </c>
      <c r="N271" t="s">
        <v>64</v>
      </c>
      <c r="O271" t="s">
        <v>46</v>
      </c>
      <c r="P271" t="s">
        <v>26</v>
      </c>
    </row>
    <row r="272" spans="1:16" x14ac:dyDescent="0.3">
      <c r="A272" t="s">
        <v>1230</v>
      </c>
      <c r="B272" s="1">
        <v>46267</v>
      </c>
      <c r="C272" t="s">
        <v>347</v>
      </c>
      <c r="D272" t="s">
        <v>18</v>
      </c>
      <c r="E272" t="s">
        <v>19</v>
      </c>
      <c r="F272" t="s">
        <v>20</v>
      </c>
      <c r="G272" t="s">
        <v>21</v>
      </c>
      <c r="H272" t="s">
        <v>22</v>
      </c>
      <c r="I272" t="s">
        <v>111</v>
      </c>
      <c r="J272" s="2">
        <v>855</v>
      </c>
      <c r="K272">
        <v>3</v>
      </c>
      <c r="L272" s="2">
        <v>0.05</v>
      </c>
      <c r="M272" s="2">
        <v>76.52</v>
      </c>
      <c r="N272" t="s">
        <v>114</v>
      </c>
      <c r="O272" t="s">
        <v>46</v>
      </c>
      <c r="P272" t="s">
        <v>47</v>
      </c>
    </row>
    <row r="273" spans="1:16" x14ac:dyDescent="0.3">
      <c r="A273" t="s">
        <v>1130</v>
      </c>
      <c r="B273" s="1">
        <v>46197</v>
      </c>
      <c r="C273" t="s">
        <v>303</v>
      </c>
      <c r="D273" t="s">
        <v>134</v>
      </c>
      <c r="E273" t="s">
        <v>75</v>
      </c>
      <c r="F273" t="s">
        <v>20</v>
      </c>
      <c r="G273" t="s">
        <v>76</v>
      </c>
      <c r="H273" t="s">
        <v>77</v>
      </c>
      <c r="I273" t="s">
        <v>171</v>
      </c>
      <c r="J273" s="2">
        <v>7200</v>
      </c>
      <c r="K273">
        <v>5</v>
      </c>
      <c r="L273" s="2">
        <v>0.1</v>
      </c>
      <c r="M273" s="2">
        <v>1430.97</v>
      </c>
      <c r="N273" t="s">
        <v>45</v>
      </c>
      <c r="O273" t="s">
        <v>108</v>
      </c>
      <c r="P273" t="s">
        <v>55</v>
      </c>
    </row>
    <row r="274" spans="1:16" x14ac:dyDescent="0.3">
      <c r="A274" t="s">
        <v>989</v>
      </c>
      <c r="B274" s="1">
        <v>46113</v>
      </c>
      <c r="C274" t="s">
        <v>632</v>
      </c>
      <c r="D274" t="s">
        <v>58</v>
      </c>
      <c r="E274" t="s">
        <v>59</v>
      </c>
      <c r="F274" t="s">
        <v>60</v>
      </c>
      <c r="G274" t="s">
        <v>76</v>
      </c>
      <c r="H274" t="s">
        <v>77</v>
      </c>
      <c r="I274" t="s">
        <v>171</v>
      </c>
      <c r="J274" s="2">
        <v>3040</v>
      </c>
      <c r="K274">
        <v>2</v>
      </c>
      <c r="L274" s="2">
        <v>0.05</v>
      </c>
      <c r="M274" s="2">
        <v>388.63</v>
      </c>
      <c r="N274" t="s">
        <v>24</v>
      </c>
      <c r="O274" t="s">
        <v>25</v>
      </c>
      <c r="P274" t="s">
        <v>26</v>
      </c>
    </row>
    <row r="275" spans="1:16" x14ac:dyDescent="0.3">
      <c r="A275" t="s">
        <v>638</v>
      </c>
      <c r="B275" s="1">
        <v>45899</v>
      </c>
      <c r="C275" t="s">
        <v>534</v>
      </c>
      <c r="D275" t="s">
        <v>96</v>
      </c>
      <c r="E275" t="s">
        <v>97</v>
      </c>
      <c r="F275" t="s">
        <v>20</v>
      </c>
      <c r="G275" t="s">
        <v>76</v>
      </c>
      <c r="H275" t="s">
        <v>122</v>
      </c>
      <c r="I275" t="s">
        <v>123</v>
      </c>
      <c r="J275" s="2">
        <v>11880</v>
      </c>
      <c r="K275">
        <v>6</v>
      </c>
      <c r="L275" s="2">
        <v>0.1</v>
      </c>
      <c r="M275" s="2">
        <v>2921.9</v>
      </c>
      <c r="N275" t="s">
        <v>114</v>
      </c>
      <c r="O275" t="s">
        <v>65</v>
      </c>
      <c r="P275" t="s">
        <v>26</v>
      </c>
    </row>
    <row r="276" spans="1:16" x14ac:dyDescent="0.3">
      <c r="A276" t="s">
        <v>394</v>
      </c>
      <c r="B276" s="1">
        <v>45779</v>
      </c>
      <c r="C276" t="s">
        <v>168</v>
      </c>
      <c r="D276" t="s">
        <v>50</v>
      </c>
      <c r="E276" t="s">
        <v>51</v>
      </c>
      <c r="F276" t="s">
        <v>52</v>
      </c>
      <c r="G276" t="s">
        <v>61</v>
      </c>
      <c r="H276" t="s">
        <v>128</v>
      </c>
      <c r="I276" t="s">
        <v>129</v>
      </c>
      <c r="J276" s="2">
        <v>98800</v>
      </c>
      <c r="K276">
        <v>2</v>
      </c>
      <c r="L276" s="2">
        <v>0.05</v>
      </c>
      <c r="M276" s="2">
        <v>22521.1</v>
      </c>
      <c r="N276" t="s">
        <v>35</v>
      </c>
      <c r="O276" t="s">
        <v>108</v>
      </c>
      <c r="P276" t="s">
        <v>47</v>
      </c>
    </row>
    <row r="277" spans="1:16" x14ac:dyDescent="0.3">
      <c r="A277" t="s">
        <v>1242</v>
      </c>
      <c r="B277" s="1">
        <v>46277</v>
      </c>
      <c r="C277" t="s">
        <v>375</v>
      </c>
      <c r="D277" t="s">
        <v>39</v>
      </c>
      <c r="E277" t="s">
        <v>40</v>
      </c>
      <c r="F277" t="s">
        <v>41</v>
      </c>
      <c r="G277" t="s">
        <v>21</v>
      </c>
      <c r="H277" t="s">
        <v>179</v>
      </c>
      <c r="I277" t="s">
        <v>180</v>
      </c>
      <c r="J277" s="2">
        <v>12240</v>
      </c>
      <c r="K277">
        <v>6</v>
      </c>
      <c r="L277" s="2">
        <v>0.15</v>
      </c>
      <c r="M277" s="2">
        <v>1900.89</v>
      </c>
      <c r="N277" t="s">
        <v>45</v>
      </c>
      <c r="O277" t="s">
        <v>71</v>
      </c>
      <c r="P277" t="s">
        <v>55</v>
      </c>
    </row>
    <row r="278" spans="1:16" x14ac:dyDescent="0.3">
      <c r="A278" t="s">
        <v>1357</v>
      </c>
      <c r="B278" s="1">
        <v>46356</v>
      </c>
      <c r="C278" t="s">
        <v>666</v>
      </c>
      <c r="D278" t="s">
        <v>96</v>
      </c>
      <c r="E278" t="s">
        <v>97</v>
      </c>
      <c r="F278" t="s">
        <v>20</v>
      </c>
      <c r="G278" t="s">
        <v>61</v>
      </c>
      <c r="H278" t="s">
        <v>62</v>
      </c>
      <c r="I278" t="s">
        <v>70</v>
      </c>
      <c r="J278" s="2">
        <v>1800</v>
      </c>
      <c r="K278">
        <v>1</v>
      </c>
      <c r="L278" s="2">
        <v>0</v>
      </c>
      <c r="M278" s="2">
        <v>486.51</v>
      </c>
      <c r="N278" t="s">
        <v>114</v>
      </c>
      <c r="O278" t="s">
        <v>36</v>
      </c>
      <c r="P278" t="s">
        <v>47</v>
      </c>
    </row>
    <row r="279" spans="1:16" x14ac:dyDescent="0.3">
      <c r="A279" t="s">
        <v>1179</v>
      </c>
      <c r="B279" s="1">
        <v>46228</v>
      </c>
      <c r="C279" t="s">
        <v>225</v>
      </c>
      <c r="D279" t="s">
        <v>74</v>
      </c>
      <c r="E279" t="s">
        <v>75</v>
      </c>
      <c r="F279" t="s">
        <v>20</v>
      </c>
      <c r="G279" t="s">
        <v>61</v>
      </c>
      <c r="H279" t="s">
        <v>62</v>
      </c>
      <c r="I279" t="s">
        <v>70</v>
      </c>
      <c r="J279" s="2">
        <v>10800</v>
      </c>
      <c r="K279">
        <v>6</v>
      </c>
      <c r="L279" s="2">
        <v>0</v>
      </c>
      <c r="M279" s="2">
        <v>894.65</v>
      </c>
      <c r="N279" t="s">
        <v>45</v>
      </c>
      <c r="O279" t="s">
        <v>105</v>
      </c>
      <c r="P279" t="s">
        <v>47</v>
      </c>
    </row>
    <row r="280" spans="1:16" x14ac:dyDescent="0.3">
      <c r="A280" t="s">
        <v>945</v>
      </c>
      <c r="B280" s="1">
        <v>46084</v>
      </c>
      <c r="C280" t="s">
        <v>946</v>
      </c>
      <c r="D280" t="s">
        <v>166</v>
      </c>
      <c r="E280" t="s">
        <v>75</v>
      </c>
      <c r="F280" t="s">
        <v>20</v>
      </c>
      <c r="G280" t="s">
        <v>42</v>
      </c>
      <c r="H280" t="s">
        <v>53</v>
      </c>
      <c r="I280" t="s">
        <v>120</v>
      </c>
      <c r="J280" s="2">
        <v>7560</v>
      </c>
      <c r="K280">
        <v>2</v>
      </c>
      <c r="L280" s="2">
        <v>0.1</v>
      </c>
      <c r="M280" s="2">
        <v>1634.42</v>
      </c>
      <c r="N280" t="s">
        <v>45</v>
      </c>
      <c r="O280" t="s">
        <v>65</v>
      </c>
      <c r="P280" t="s">
        <v>47</v>
      </c>
    </row>
    <row r="281" spans="1:16" x14ac:dyDescent="0.3">
      <c r="A281" t="s">
        <v>481</v>
      </c>
      <c r="B281" s="1">
        <v>45813</v>
      </c>
      <c r="C281" t="s">
        <v>482</v>
      </c>
      <c r="D281" t="s">
        <v>82</v>
      </c>
      <c r="E281" t="s">
        <v>83</v>
      </c>
      <c r="F281" t="s">
        <v>52</v>
      </c>
      <c r="G281" t="s">
        <v>76</v>
      </c>
      <c r="H281" t="s">
        <v>122</v>
      </c>
      <c r="I281" t="s">
        <v>123</v>
      </c>
      <c r="J281" s="2">
        <v>1870</v>
      </c>
      <c r="K281">
        <v>1</v>
      </c>
      <c r="L281" s="2">
        <v>0.15</v>
      </c>
      <c r="M281" s="2">
        <v>418.37</v>
      </c>
      <c r="N281" t="s">
        <v>45</v>
      </c>
      <c r="O281" t="s">
        <v>105</v>
      </c>
      <c r="P281" t="s">
        <v>47</v>
      </c>
    </row>
    <row r="282" spans="1:16" x14ac:dyDescent="0.3">
      <c r="A282" t="s">
        <v>1288</v>
      </c>
      <c r="B282" s="1">
        <v>46310</v>
      </c>
      <c r="C282" t="s">
        <v>240</v>
      </c>
      <c r="D282" t="s">
        <v>68</v>
      </c>
      <c r="E282" t="s">
        <v>69</v>
      </c>
      <c r="F282" t="s">
        <v>41</v>
      </c>
      <c r="G282" t="s">
        <v>61</v>
      </c>
      <c r="H282" t="s">
        <v>98</v>
      </c>
      <c r="I282" t="s">
        <v>156</v>
      </c>
      <c r="J282" s="2">
        <v>216600</v>
      </c>
      <c r="K282">
        <v>6</v>
      </c>
      <c r="L282" s="2">
        <v>0.05</v>
      </c>
      <c r="M282" s="2">
        <v>17529.330000000002</v>
      </c>
      <c r="N282" t="s">
        <v>24</v>
      </c>
      <c r="O282" t="s">
        <v>36</v>
      </c>
      <c r="P282" t="s">
        <v>47</v>
      </c>
    </row>
    <row r="283" spans="1:16" x14ac:dyDescent="0.3">
      <c r="A283" t="s">
        <v>909</v>
      </c>
      <c r="B283" s="1">
        <v>46061</v>
      </c>
      <c r="C283" t="s">
        <v>435</v>
      </c>
      <c r="D283" t="s">
        <v>18</v>
      </c>
      <c r="E283" t="s">
        <v>19</v>
      </c>
      <c r="F283" t="s">
        <v>20</v>
      </c>
      <c r="G283" t="s">
        <v>76</v>
      </c>
      <c r="H283" t="s">
        <v>122</v>
      </c>
      <c r="I283" t="s">
        <v>217</v>
      </c>
      <c r="J283" s="2">
        <v>4860</v>
      </c>
      <c r="K283">
        <v>3</v>
      </c>
      <c r="L283" s="2">
        <v>0.1</v>
      </c>
      <c r="M283" s="2">
        <v>839.46</v>
      </c>
      <c r="N283" t="s">
        <v>64</v>
      </c>
      <c r="O283" t="s">
        <v>46</v>
      </c>
      <c r="P283" t="s">
        <v>55</v>
      </c>
    </row>
    <row r="284" spans="1:16" x14ac:dyDescent="0.3">
      <c r="A284" t="s">
        <v>773</v>
      </c>
      <c r="B284" s="1">
        <v>45981</v>
      </c>
      <c r="C284" t="s">
        <v>457</v>
      </c>
      <c r="D284" t="s">
        <v>58</v>
      </c>
      <c r="E284" t="s">
        <v>59</v>
      </c>
      <c r="F284" t="s">
        <v>60</v>
      </c>
      <c r="G284" t="s">
        <v>32</v>
      </c>
      <c r="H284" t="s">
        <v>92</v>
      </c>
      <c r="I284" t="s">
        <v>93</v>
      </c>
      <c r="J284" s="2">
        <v>54625</v>
      </c>
      <c r="K284">
        <v>5</v>
      </c>
      <c r="L284" s="2">
        <v>0.05</v>
      </c>
      <c r="M284" s="2">
        <v>10298.01</v>
      </c>
      <c r="N284" t="s">
        <v>64</v>
      </c>
      <c r="O284" t="s">
        <v>108</v>
      </c>
      <c r="P284" t="s">
        <v>47</v>
      </c>
    </row>
    <row r="285" spans="1:16" x14ac:dyDescent="0.3">
      <c r="A285" t="s">
        <v>532</v>
      </c>
      <c r="B285" s="1">
        <v>45850</v>
      </c>
      <c r="C285" t="s">
        <v>209</v>
      </c>
      <c r="D285" t="s">
        <v>39</v>
      </c>
      <c r="E285" t="s">
        <v>40</v>
      </c>
      <c r="F285" t="s">
        <v>41</v>
      </c>
      <c r="G285" t="s">
        <v>76</v>
      </c>
      <c r="H285" t="s">
        <v>77</v>
      </c>
      <c r="I285" t="s">
        <v>78</v>
      </c>
      <c r="J285" s="2">
        <v>4080</v>
      </c>
      <c r="K285">
        <v>2</v>
      </c>
      <c r="L285" s="2">
        <v>0.15</v>
      </c>
      <c r="M285" s="2">
        <v>895.25</v>
      </c>
      <c r="N285" t="s">
        <v>35</v>
      </c>
      <c r="O285" t="s">
        <v>86</v>
      </c>
      <c r="P285" t="s">
        <v>26</v>
      </c>
    </row>
    <row r="286" spans="1:16" x14ac:dyDescent="0.3">
      <c r="A286" t="s">
        <v>906</v>
      </c>
      <c r="B286" s="1">
        <v>46060</v>
      </c>
      <c r="C286" t="s">
        <v>213</v>
      </c>
      <c r="D286" t="s">
        <v>91</v>
      </c>
      <c r="E286" t="s">
        <v>91</v>
      </c>
      <c r="F286" t="s">
        <v>60</v>
      </c>
      <c r="G286" t="s">
        <v>76</v>
      </c>
      <c r="H286" t="s">
        <v>77</v>
      </c>
      <c r="I286" t="s">
        <v>171</v>
      </c>
      <c r="J286" s="2">
        <v>4320</v>
      </c>
      <c r="K286">
        <v>3</v>
      </c>
      <c r="L286" s="2">
        <v>0.1</v>
      </c>
      <c r="M286" s="2">
        <v>679.26</v>
      </c>
      <c r="N286" t="s">
        <v>35</v>
      </c>
      <c r="O286" t="s">
        <v>86</v>
      </c>
      <c r="P286" t="s">
        <v>26</v>
      </c>
    </row>
    <row r="287" spans="1:16" x14ac:dyDescent="0.3">
      <c r="A287" t="s">
        <v>1155</v>
      </c>
      <c r="B287" s="1">
        <v>46210</v>
      </c>
      <c r="C287" t="s">
        <v>268</v>
      </c>
      <c r="D287" t="s">
        <v>104</v>
      </c>
      <c r="E287" t="s">
        <v>83</v>
      </c>
      <c r="F287" t="s">
        <v>52</v>
      </c>
      <c r="G287" t="s">
        <v>42</v>
      </c>
      <c r="H287" t="s">
        <v>43</v>
      </c>
      <c r="I287" t="s">
        <v>44</v>
      </c>
      <c r="J287" s="2">
        <v>14450</v>
      </c>
      <c r="K287">
        <v>2</v>
      </c>
      <c r="L287" s="2">
        <v>0.15</v>
      </c>
      <c r="M287" s="2">
        <v>2576.9299999999998</v>
      </c>
      <c r="N287" t="s">
        <v>24</v>
      </c>
      <c r="O287" t="s">
        <v>36</v>
      </c>
      <c r="P287" t="s">
        <v>55</v>
      </c>
    </row>
    <row r="288" spans="1:16" x14ac:dyDescent="0.3">
      <c r="A288" t="s">
        <v>527</v>
      </c>
      <c r="B288" s="1">
        <v>45846</v>
      </c>
      <c r="C288" t="s">
        <v>414</v>
      </c>
      <c r="D288" t="s">
        <v>134</v>
      </c>
      <c r="E288" t="s">
        <v>75</v>
      </c>
      <c r="F288" t="s">
        <v>20</v>
      </c>
      <c r="G288" t="s">
        <v>32</v>
      </c>
      <c r="H288" t="s">
        <v>33</v>
      </c>
      <c r="I288" t="s">
        <v>34</v>
      </c>
      <c r="J288" s="2">
        <v>27900</v>
      </c>
      <c r="K288">
        <v>5</v>
      </c>
      <c r="L288" s="2">
        <v>0.1</v>
      </c>
      <c r="M288" s="2">
        <v>2392.23</v>
      </c>
      <c r="N288" t="s">
        <v>114</v>
      </c>
      <c r="O288" t="s">
        <v>86</v>
      </c>
      <c r="P288" t="s">
        <v>47</v>
      </c>
    </row>
    <row r="289" spans="1:16" x14ac:dyDescent="0.3">
      <c r="A289" t="s">
        <v>1191</v>
      </c>
      <c r="B289" s="1">
        <v>46238</v>
      </c>
      <c r="C289" t="s">
        <v>858</v>
      </c>
      <c r="D289" t="s">
        <v>134</v>
      </c>
      <c r="E289" t="s">
        <v>75</v>
      </c>
      <c r="F289" t="s">
        <v>20</v>
      </c>
      <c r="G289" t="s">
        <v>61</v>
      </c>
      <c r="H289" t="s">
        <v>128</v>
      </c>
      <c r="I289" t="s">
        <v>129</v>
      </c>
      <c r="J289" s="2">
        <v>46800</v>
      </c>
      <c r="K289">
        <v>1</v>
      </c>
      <c r="L289" s="2">
        <v>0.1</v>
      </c>
      <c r="M289" s="2">
        <v>5954.94</v>
      </c>
      <c r="N289" t="s">
        <v>114</v>
      </c>
      <c r="O289" t="s">
        <v>36</v>
      </c>
      <c r="P289" t="s">
        <v>47</v>
      </c>
    </row>
    <row r="290" spans="1:16" x14ac:dyDescent="0.3">
      <c r="A290" t="s">
        <v>805</v>
      </c>
      <c r="B290" s="1">
        <v>45999</v>
      </c>
      <c r="C290" t="s">
        <v>233</v>
      </c>
      <c r="D290" t="s">
        <v>82</v>
      </c>
      <c r="E290" t="s">
        <v>83</v>
      </c>
      <c r="F290" t="s">
        <v>52</v>
      </c>
      <c r="G290" t="s">
        <v>61</v>
      </c>
      <c r="H290" t="s">
        <v>128</v>
      </c>
      <c r="I290" t="s">
        <v>195</v>
      </c>
      <c r="J290" s="2">
        <v>348000</v>
      </c>
      <c r="K290">
        <v>6</v>
      </c>
      <c r="L290" s="2">
        <v>0</v>
      </c>
      <c r="M290" s="2">
        <v>58288.74</v>
      </c>
      <c r="N290" t="s">
        <v>24</v>
      </c>
      <c r="O290" t="s">
        <v>79</v>
      </c>
      <c r="P290" t="s">
        <v>55</v>
      </c>
    </row>
    <row r="291" spans="1:16" x14ac:dyDescent="0.3">
      <c r="A291" t="s">
        <v>1126</v>
      </c>
      <c r="B291" s="1">
        <v>46194</v>
      </c>
      <c r="C291" t="s">
        <v>838</v>
      </c>
      <c r="D291" t="s">
        <v>96</v>
      </c>
      <c r="E291" t="s">
        <v>97</v>
      </c>
      <c r="F291" t="s">
        <v>20</v>
      </c>
      <c r="G291" t="s">
        <v>21</v>
      </c>
      <c r="H291" t="s">
        <v>22</v>
      </c>
      <c r="I291" t="s">
        <v>23</v>
      </c>
      <c r="J291" s="2">
        <v>1912.5</v>
      </c>
      <c r="K291">
        <v>5</v>
      </c>
      <c r="L291" s="2">
        <v>0.15</v>
      </c>
      <c r="M291" s="2">
        <v>346.13</v>
      </c>
      <c r="N291" t="s">
        <v>45</v>
      </c>
      <c r="O291" t="s">
        <v>36</v>
      </c>
      <c r="P291" t="s">
        <v>47</v>
      </c>
    </row>
    <row r="292" spans="1:16" x14ac:dyDescent="0.3">
      <c r="A292" t="s">
        <v>1308</v>
      </c>
      <c r="B292" s="1">
        <v>46318</v>
      </c>
      <c r="C292" t="s">
        <v>205</v>
      </c>
      <c r="D292" t="s">
        <v>29</v>
      </c>
      <c r="E292" t="s">
        <v>30</v>
      </c>
      <c r="F292" t="s">
        <v>31</v>
      </c>
      <c r="G292" t="s">
        <v>76</v>
      </c>
      <c r="H292" t="s">
        <v>122</v>
      </c>
      <c r="I292" t="s">
        <v>217</v>
      </c>
      <c r="J292" s="2">
        <v>5760</v>
      </c>
      <c r="K292">
        <v>4</v>
      </c>
      <c r="L292" s="2">
        <v>0.2</v>
      </c>
      <c r="M292" s="2">
        <v>1226.8</v>
      </c>
      <c r="N292" t="s">
        <v>45</v>
      </c>
      <c r="O292" t="s">
        <v>46</v>
      </c>
      <c r="P292" t="s">
        <v>55</v>
      </c>
    </row>
    <row r="293" spans="1:16" x14ac:dyDescent="0.3">
      <c r="A293" t="s">
        <v>100</v>
      </c>
      <c r="B293" s="1">
        <v>45667</v>
      </c>
      <c r="C293" t="s">
        <v>101</v>
      </c>
      <c r="D293" t="s">
        <v>58</v>
      </c>
      <c r="E293" t="s">
        <v>59</v>
      </c>
      <c r="F293" t="s">
        <v>60</v>
      </c>
      <c r="G293" t="s">
        <v>42</v>
      </c>
      <c r="H293" t="s">
        <v>43</v>
      </c>
      <c r="I293" t="s">
        <v>44</v>
      </c>
      <c r="J293" s="2">
        <v>14450</v>
      </c>
      <c r="K293">
        <v>2</v>
      </c>
      <c r="L293" s="2">
        <v>0.15</v>
      </c>
      <c r="M293" s="2">
        <v>2528.33</v>
      </c>
      <c r="N293" t="s">
        <v>24</v>
      </c>
      <c r="O293" t="s">
        <v>36</v>
      </c>
      <c r="P293" t="s">
        <v>55</v>
      </c>
    </row>
    <row r="294" spans="1:16" x14ac:dyDescent="0.3">
      <c r="A294" t="s">
        <v>310</v>
      </c>
      <c r="B294" s="1">
        <v>45745</v>
      </c>
      <c r="C294" t="s">
        <v>311</v>
      </c>
      <c r="D294" t="s">
        <v>104</v>
      </c>
      <c r="E294" t="s">
        <v>83</v>
      </c>
      <c r="F294" t="s">
        <v>52</v>
      </c>
      <c r="G294" t="s">
        <v>21</v>
      </c>
      <c r="H294" t="s">
        <v>22</v>
      </c>
      <c r="I294" t="s">
        <v>23</v>
      </c>
      <c r="J294" s="2">
        <v>405</v>
      </c>
      <c r="K294">
        <v>1</v>
      </c>
      <c r="L294" s="2">
        <v>0.1</v>
      </c>
      <c r="M294" s="2">
        <v>40.380000000000003</v>
      </c>
      <c r="N294" t="s">
        <v>45</v>
      </c>
      <c r="O294" t="s">
        <v>79</v>
      </c>
      <c r="P294" t="s">
        <v>26</v>
      </c>
    </row>
    <row r="295" spans="1:16" x14ac:dyDescent="0.3">
      <c r="A295" t="s">
        <v>1021</v>
      </c>
      <c r="B295" s="1">
        <v>46134</v>
      </c>
      <c r="C295" t="s">
        <v>678</v>
      </c>
      <c r="D295" t="s">
        <v>96</v>
      </c>
      <c r="E295" t="s">
        <v>97</v>
      </c>
      <c r="F295" t="s">
        <v>20</v>
      </c>
      <c r="G295" t="s">
        <v>42</v>
      </c>
      <c r="H295" t="s">
        <v>43</v>
      </c>
      <c r="I295" t="s">
        <v>44</v>
      </c>
      <c r="J295" s="2">
        <v>36125</v>
      </c>
      <c r="K295">
        <v>5</v>
      </c>
      <c r="L295" s="2">
        <v>0.15</v>
      </c>
      <c r="M295" s="2">
        <v>4161.8999999999996</v>
      </c>
      <c r="N295" t="s">
        <v>24</v>
      </c>
      <c r="O295" t="s">
        <v>65</v>
      </c>
      <c r="P295" t="s">
        <v>26</v>
      </c>
    </row>
    <row r="296" spans="1:16" x14ac:dyDescent="0.3">
      <c r="A296" t="s">
        <v>1019</v>
      </c>
      <c r="B296" s="1">
        <v>46131</v>
      </c>
      <c r="C296" t="s">
        <v>233</v>
      </c>
      <c r="D296" t="s">
        <v>74</v>
      </c>
      <c r="E296" t="s">
        <v>75</v>
      </c>
      <c r="F296" t="s">
        <v>20</v>
      </c>
      <c r="G296" t="s">
        <v>61</v>
      </c>
      <c r="H296" t="s">
        <v>128</v>
      </c>
      <c r="I296" t="s">
        <v>129</v>
      </c>
      <c r="J296" s="2">
        <v>187200</v>
      </c>
      <c r="K296">
        <v>4</v>
      </c>
      <c r="L296" s="2">
        <v>0.1</v>
      </c>
      <c r="M296" s="2">
        <v>29310.23</v>
      </c>
      <c r="N296" t="s">
        <v>24</v>
      </c>
      <c r="O296" t="s">
        <v>71</v>
      </c>
      <c r="P296" t="s">
        <v>26</v>
      </c>
    </row>
    <row r="297" spans="1:16" x14ac:dyDescent="0.3">
      <c r="A297" t="s">
        <v>1389</v>
      </c>
      <c r="B297" s="1">
        <v>46385</v>
      </c>
      <c r="C297" t="s">
        <v>582</v>
      </c>
      <c r="D297" t="s">
        <v>74</v>
      </c>
      <c r="E297" t="s">
        <v>75</v>
      </c>
      <c r="F297" t="s">
        <v>20</v>
      </c>
      <c r="G297" t="s">
        <v>42</v>
      </c>
      <c r="H297" t="s">
        <v>43</v>
      </c>
      <c r="I297" t="s">
        <v>44</v>
      </c>
      <c r="J297" s="2">
        <v>45900</v>
      </c>
      <c r="K297">
        <v>6</v>
      </c>
      <c r="L297" s="2">
        <v>0.1</v>
      </c>
      <c r="M297" s="2">
        <v>12148.57</v>
      </c>
      <c r="N297" t="s">
        <v>64</v>
      </c>
      <c r="O297" t="s">
        <v>25</v>
      </c>
      <c r="P297" t="s">
        <v>26</v>
      </c>
    </row>
    <row r="298" spans="1:16" x14ac:dyDescent="0.3">
      <c r="A298" t="s">
        <v>1040</v>
      </c>
      <c r="B298" s="1">
        <v>46140</v>
      </c>
      <c r="C298" t="s">
        <v>622</v>
      </c>
      <c r="D298" t="s">
        <v>18</v>
      </c>
      <c r="E298" t="s">
        <v>19</v>
      </c>
      <c r="F298" t="s">
        <v>20</v>
      </c>
      <c r="G298" t="s">
        <v>61</v>
      </c>
      <c r="H298" t="s">
        <v>128</v>
      </c>
      <c r="I298" t="s">
        <v>129</v>
      </c>
      <c r="J298" s="2">
        <v>234000</v>
      </c>
      <c r="K298">
        <v>5</v>
      </c>
      <c r="L298" s="2">
        <v>0.1</v>
      </c>
      <c r="M298" s="2">
        <v>57502.12</v>
      </c>
      <c r="N298" t="s">
        <v>45</v>
      </c>
      <c r="O298" t="s">
        <v>108</v>
      </c>
      <c r="P298" t="s">
        <v>26</v>
      </c>
    </row>
    <row r="299" spans="1:16" x14ac:dyDescent="0.3">
      <c r="A299" t="s">
        <v>1100</v>
      </c>
      <c r="B299" s="1">
        <v>46176</v>
      </c>
      <c r="C299" t="s">
        <v>38</v>
      </c>
      <c r="D299" t="s">
        <v>134</v>
      </c>
      <c r="E299" t="s">
        <v>75</v>
      </c>
      <c r="F299" t="s">
        <v>20</v>
      </c>
      <c r="G299" t="s">
        <v>42</v>
      </c>
      <c r="H299" t="s">
        <v>279</v>
      </c>
      <c r="I299" t="s">
        <v>280</v>
      </c>
      <c r="J299" s="2">
        <v>21250</v>
      </c>
      <c r="K299">
        <v>2</v>
      </c>
      <c r="L299" s="2">
        <v>0.15</v>
      </c>
      <c r="M299" s="2">
        <v>4145.67</v>
      </c>
      <c r="N299" t="s">
        <v>45</v>
      </c>
      <c r="O299" t="s">
        <v>71</v>
      </c>
      <c r="P299" t="s">
        <v>55</v>
      </c>
    </row>
    <row r="300" spans="1:16" x14ac:dyDescent="0.3">
      <c r="A300" t="s">
        <v>713</v>
      </c>
      <c r="B300" s="1">
        <v>45940</v>
      </c>
      <c r="C300" t="s">
        <v>289</v>
      </c>
      <c r="D300" t="s">
        <v>74</v>
      </c>
      <c r="E300" t="s">
        <v>75</v>
      </c>
      <c r="F300" t="s">
        <v>20</v>
      </c>
      <c r="G300" t="s">
        <v>21</v>
      </c>
      <c r="H300" t="s">
        <v>175</v>
      </c>
      <c r="I300" t="s">
        <v>176</v>
      </c>
      <c r="J300" s="2">
        <v>2600</v>
      </c>
      <c r="K300">
        <v>4</v>
      </c>
      <c r="L300" s="2">
        <v>0</v>
      </c>
      <c r="M300" s="2">
        <v>218.29</v>
      </c>
      <c r="N300" t="s">
        <v>64</v>
      </c>
      <c r="O300" t="s">
        <v>105</v>
      </c>
      <c r="P300" t="s">
        <v>26</v>
      </c>
    </row>
    <row r="301" spans="1:16" x14ac:dyDescent="0.3">
      <c r="A301" t="s">
        <v>1386</v>
      </c>
      <c r="B301" s="1">
        <v>46383</v>
      </c>
      <c r="C301" t="s">
        <v>571</v>
      </c>
      <c r="D301" t="s">
        <v>68</v>
      </c>
      <c r="E301" t="s">
        <v>69</v>
      </c>
      <c r="F301" t="s">
        <v>41</v>
      </c>
      <c r="G301" t="s">
        <v>32</v>
      </c>
      <c r="H301" t="s">
        <v>92</v>
      </c>
      <c r="I301" t="s">
        <v>93</v>
      </c>
      <c r="J301" s="2">
        <v>32775</v>
      </c>
      <c r="K301">
        <v>3</v>
      </c>
      <c r="L301" s="2">
        <v>0.05</v>
      </c>
      <c r="M301" s="2">
        <v>3035.51</v>
      </c>
      <c r="N301" t="s">
        <v>35</v>
      </c>
      <c r="O301" t="s">
        <v>46</v>
      </c>
      <c r="P301" t="s">
        <v>26</v>
      </c>
    </row>
    <row r="302" spans="1:16" x14ac:dyDescent="0.3">
      <c r="A302" t="s">
        <v>912</v>
      </c>
      <c r="B302" s="1">
        <v>46061</v>
      </c>
      <c r="C302" t="s">
        <v>611</v>
      </c>
      <c r="D302" t="s">
        <v>39</v>
      </c>
      <c r="E302" t="s">
        <v>40</v>
      </c>
      <c r="F302" t="s">
        <v>41</v>
      </c>
      <c r="G302" t="s">
        <v>42</v>
      </c>
      <c r="H302" t="s">
        <v>43</v>
      </c>
      <c r="I302" t="s">
        <v>44</v>
      </c>
      <c r="J302" s="2">
        <v>43350</v>
      </c>
      <c r="K302">
        <v>6</v>
      </c>
      <c r="L302" s="2">
        <v>0.15</v>
      </c>
      <c r="M302" s="2">
        <v>9560.2900000000009</v>
      </c>
      <c r="N302" t="s">
        <v>35</v>
      </c>
      <c r="O302" t="s">
        <v>36</v>
      </c>
      <c r="P302" t="s">
        <v>26</v>
      </c>
    </row>
    <row r="303" spans="1:16" x14ac:dyDescent="0.3">
      <c r="A303" t="s">
        <v>761</v>
      </c>
      <c r="B303" s="1">
        <v>45975</v>
      </c>
      <c r="C303" t="s">
        <v>762</v>
      </c>
      <c r="D303" t="s">
        <v>18</v>
      </c>
      <c r="E303" t="s">
        <v>19</v>
      </c>
      <c r="F303" t="s">
        <v>20</v>
      </c>
      <c r="G303" t="s">
        <v>61</v>
      </c>
      <c r="H303" t="s">
        <v>62</v>
      </c>
      <c r="I303" t="s">
        <v>63</v>
      </c>
      <c r="J303" s="2">
        <v>1800</v>
      </c>
      <c r="K303">
        <v>2</v>
      </c>
      <c r="L303" s="2">
        <v>0</v>
      </c>
      <c r="M303" s="2">
        <v>493.44</v>
      </c>
      <c r="N303" t="s">
        <v>35</v>
      </c>
      <c r="O303" t="s">
        <v>108</v>
      </c>
      <c r="P303" t="s">
        <v>26</v>
      </c>
    </row>
    <row r="304" spans="1:16" x14ac:dyDescent="0.3">
      <c r="A304" t="s">
        <v>1095</v>
      </c>
      <c r="B304" s="1">
        <v>46171</v>
      </c>
      <c r="C304" t="s">
        <v>410</v>
      </c>
      <c r="D304" t="s">
        <v>119</v>
      </c>
      <c r="E304" t="s">
        <v>75</v>
      </c>
      <c r="F304" t="s">
        <v>20</v>
      </c>
      <c r="G304" t="s">
        <v>32</v>
      </c>
      <c r="H304" t="s">
        <v>84</v>
      </c>
      <c r="I304" t="s">
        <v>85</v>
      </c>
      <c r="J304" s="2">
        <v>33750</v>
      </c>
      <c r="K304">
        <v>3</v>
      </c>
      <c r="L304" s="2">
        <v>0.1</v>
      </c>
      <c r="M304" s="2">
        <v>5769.78</v>
      </c>
      <c r="N304" t="s">
        <v>35</v>
      </c>
      <c r="O304" t="s">
        <v>46</v>
      </c>
      <c r="P304" t="s">
        <v>55</v>
      </c>
    </row>
    <row r="305" spans="1:16" x14ac:dyDescent="0.3">
      <c r="A305" t="s">
        <v>1211</v>
      </c>
      <c r="B305" s="1">
        <v>46253</v>
      </c>
      <c r="C305" t="s">
        <v>184</v>
      </c>
      <c r="D305" t="s">
        <v>50</v>
      </c>
      <c r="E305" t="s">
        <v>51</v>
      </c>
      <c r="F305" t="s">
        <v>52</v>
      </c>
      <c r="G305" t="s">
        <v>61</v>
      </c>
      <c r="H305" t="s">
        <v>62</v>
      </c>
      <c r="I305" t="s">
        <v>70</v>
      </c>
      <c r="J305" s="2">
        <v>6840</v>
      </c>
      <c r="K305">
        <v>4</v>
      </c>
      <c r="L305" s="2">
        <v>0.05</v>
      </c>
      <c r="M305" s="2">
        <v>635.55999999999995</v>
      </c>
      <c r="N305" t="s">
        <v>35</v>
      </c>
      <c r="O305" t="s">
        <v>105</v>
      </c>
      <c r="P305" t="s">
        <v>47</v>
      </c>
    </row>
    <row r="306" spans="1:16" x14ac:dyDescent="0.3">
      <c r="A306" t="s">
        <v>968</v>
      </c>
      <c r="B306" s="1">
        <v>46100</v>
      </c>
      <c r="C306" t="s">
        <v>637</v>
      </c>
      <c r="D306" t="s">
        <v>82</v>
      </c>
      <c r="E306" t="s">
        <v>83</v>
      </c>
      <c r="F306" t="s">
        <v>52</v>
      </c>
      <c r="G306" t="s">
        <v>76</v>
      </c>
      <c r="H306" t="s">
        <v>77</v>
      </c>
      <c r="I306" t="s">
        <v>78</v>
      </c>
      <c r="J306" s="2">
        <v>6480</v>
      </c>
      <c r="K306">
        <v>3</v>
      </c>
      <c r="L306" s="2">
        <v>0.1</v>
      </c>
      <c r="M306" s="2">
        <v>1362.26</v>
      </c>
      <c r="N306" t="s">
        <v>24</v>
      </c>
      <c r="O306" t="s">
        <v>71</v>
      </c>
      <c r="P306" t="s">
        <v>26</v>
      </c>
    </row>
    <row r="307" spans="1:16" x14ac:dyDescent="0.3">
      <c r="A307" t="s">
        <v>1165</v>
      </c>
      <c r="B307" s="1">
        <v>46217</v>
      </c>
      <c r="C307" t="s">
        <v>414</v>
      </c>
      <c r="D307" t="s">
        <v>134</v>
      </c>
      <c r="E307" t="s">
        <v>75</v>
      </c>
      <c r="F307" t="s">
        <v>20</v>
      </c>
      <c r="G307" t="s">
        <v>76</v>
      </c>
      <c r="H307" t="s">
        <v>122</v>
      </c>
      <c r="I307" t="s">
        <v>217</v>
      </c>
      <c r="J307" s="2">
        <v>1800</v>
      </c>
      <c r="K307">
        <v>1</v>
      </c>
      <c r="L307" s="2">
        <v>0</v>
      </c>
      <c r="M307" s="2">
        <v>484.11</v>
      </c>
      <c r="N307" t="s">
        <v>64</v>
      </c>
      <c r="O307" t="s">
        <v>25</v>
      </c>
      <c r="P307" t="s">
        <v>26</v>
      </c>
    </row>
    <row r="308" spans="1:16" x14ac:dyDescent="0.3">
      <c r="A308" t="s">
        <v>633</v>
      </c>
      <c r="B308" s="1">
        <v>45894</v>
      </c>
      <c r="C308" t="s">
        <v>634</v>
      </c>
      <c r="D308" t="s">
        <v>39</v>
      </c>
      <c r="E308" t="s">
        <v>40</v>
      </c>
      <c r="F308" t="s">
        <v>41</v>
      </c>
      <c r="G308" t="s">
        <v>21</v>
      </c>
      <c r="H308" t="s">
        <v>22</v>
      </c>
      <c r="I308" t="s">
        <v>23</v>
      </c>
      <c r="J308" s="2">
        <v>405</v>
      </c>
      <c r="K308">
        <v>1</v>
      </c>
      <c r="L308" s="2">
        <v>0.1</v>
      </c>
      <c r="M308" s="2">
        <v>106.32</v>
      </c>
      <c r="N308" t="s">
        <v>64</v>
      </c>
      <c r="O308" t="s">
        <v>108</v>
      </c>
      <c r="P308" t="s">
        <v>47</v>
      </c>
    </row>
    <row r="309" spans="1:16" x14ac:dyDescent="0.3">
      <c r="A309" t="s">
        <v>687</v>
      </c>
      <c r="B309" s="1">
        <v>45928</v>
      </c>
      <c r="C309" t="s">
        <v>142</v>
      </c>
      <c r="D309" t="s">
        <v>50</v>
      </c>
      <c r="E309" t="s">
        <v>51</v>
      </c>
      <c r="F309" t="s">
        <v>52</v>
      </c>
      <c r="G309" t="s">
        <v>32</v>
      </c>
      <c r="H309" t="s">
        <v>33</v>
      </c>
      <c r="I309" t="s">
        <v>34</v>
      </c>
      <c r="J309" s="2">
        <v>22320</v>
      </c>
      <c r="K309">
        <v>4</v>
      </c>
      <c r="L309" s="2">
        <v>0.1</v>
      </c>
      <c r="M309" s="2">
        <v>5659.67</v>
      </c>
      <c r="N309" t="s">
        <v>45</v>
      </c>
      <c r="O309" t="s">
        <v>36</v>
      </c>
      <c r="P309" t="s">
        <v>55</v>
      </c>
    </row>
    <row r="310" spans="1:16" x14ac:dyDescent="0.3">
      <c r="A310" t="s">
        <v>1057</v>
      </c>
      <c r="B310" s="1">
        <v>46150</v>
      </c>
      <c r="C310" t="s">
        <v>676</v>
      </c>
      <c r="D310" t="s">
        <v>58</v>
      </c>
      <c r="E310" t="s">
        <v>59</v>
      </c>
      <c r="F310" t="s">
        <v>60</v>
      </c>
      <c r="G310" t="s">
        <v>76</v>
      </c>
      <c r="H310" t="s">
        <v>122</v>
      </c>
      <c r="I310" t="s">
        <v>123</v>
      </c>
      <c r="J310" s="2">
        <v>1980</v>
      </c>
      <c r="K310">
        <v>1</v>
      </c>
      <c r="L310" s="2">
        <v>0.1</v>
      </c>
      <c r="M310" s="2">
        <v>400.21</v>
      </c>
      <c r="N310" t="s">
        <v>64</v>
      </c>
      <c r="O310" t="s">
        <v>105</v>
      </c>
      <c r="P310" t="s">
        <v>55</v>
      </c>
    </row>
    <row r="311" spans="1:16" x14ac:dyDescent="0.3">
      <c r="A311" t="s">
        <v>736</v>
      </c>
      <c r="B311" s="1">
        <v>45953</v>
      </c>
      <c r="C311" t="s">
        <v>503</v>
      </c>
      <c r="D311" t="s">
        <v>96</v>
      </c>
      <c r="E311" t="s">
        <v>97</v>
      </c>
      <c r="F311" t="s">
        <v>20</v>
      </c>
      <c r="G311" t="s">
        <v>42</v>
      </c>
      <c r="H311" t="s">
        <v>43</v>
      </c>
      <c r="I311" t="s">
        <v>44</v>
      </c>
      <c r="J311" s="2">
        <v>8075</v>
      </c>
      <c r="K311">
        <v>1</v>
      </c>
      <c r="L311" s="2">
        <v>0.05</v>
      </c>
      <c r="M311" s="2">
        <v>1053.17</v>
      </c>
      <c r="N311" t="s">
        <v>35</v>
      </c>
      <c r="O311" t="s">
        <v>135</v>
      </c>
      <c r="P311" t="s">
        <v>47</v>
      </c>
    </row>
    <row r="312" spans="1:16" x14ac:dyDescent="0.3">
      <c r="A312" t="s">
        <v>1270</v>
      </c>
      <c r="B312" s="1">
        <v>46296</v>
      </c>
      <c r="C312" t="s">
        <v>1011</v>
      </c>
      <c r="D312" t="s">
        <v>58</v>
      </c>
      <c r="E312" t="s">
        <v>59</v>
      </c>
      <c r="F312" t="s">
        <v>60</v>
      </c>
      <c r="G312" t="s">
        <v>21</v>
      </c>
      <c r="H312" t="s">
        <v>175</v>
      </c>
      <c r="I312" t="s">
        <v>176</v>
      </c>
      <c r="J312" s="2">
        <v>1235</v>
      </c>
      <c r="K312">
        <v>2</v>
      </c>
      <c r="L312" s="2">
        <v>0.05</v>
      </c>
      <c r="M312" s="2">
        <v>172.51</v>
      </c>
      <c r="N312" t="s">
        <v>45</v>
      </c>
      <c r="O312" t="s">
        <v>86</v>
      </c>
      <c r="P312" t="s">
        <v>47</v>
      </c>
    </row>
    <row r="313" spans="1:16" x14ac:dyDescent="0.3">
      <c r="A313" t="s">
        <v>261</v>
      </c>
      <c r="B313" s="1">
        <v>45730</v>
      </c>
      <c r="C313" t="s">
        <v>257</v>
      </c>
      <c r="D313" t="s">
        <v>74</v>
      </c>
      <c r="E313" t="s">
        <v>75</v>
      </c>
      <c r="F313" t="s">
        <v>20</v>
      </c>
      <c r="G313" t="s">
        <v>21</v>
      </c>
      <c r="H313" t="s">
        <v>22</v>
      </c>
      <c r="I313" t="s">
        <v>23</v>
      </c>
      <c r="J313" s="2">
        <v>1215</v>
      </c>
      <c r="K313">
        <v>3</v>
      </c>
      <c r="L313" s="2">
        <v>0.1</v>
      </c>
      <c r="M313" s="2">
        <v>103.25</v>
      </c>
      <c r="N313" t="s">
        <v>64</v>
      </c>
      <c r="O313" t="s">
        <v>46</v>
      </c>
      <c r="P313" t="s">
        <v>26</v>
      </c>
    </row>
    <row r="314" spans="1:16" x14ac:dyDescent="0.3">
      <c r="A314" t="s">
        <v>971</v>
      </c>
      <c r="B314" s="1">
        <v>46102</v>
      </c>
      <c r="C314" t="s">
        <v>305</v>
      </c>
      <c r="D314" t="s">
        <v>68</v>
      </c>
      <c r="E314" t="s">
        <v>69</v>
      </c>
      <c r="F314" t="s">
        <v>41</v>
      </c>
      <c r="G314" t="s">
        <v>32</v>
      </c>
      <c r="H314" t="s">
        <v>92</v>
      </c>
      <c r="I314" t="s">
        <v>93</v>
      </c>
      <c r="J314" s="2">
        <v>51750</v>
      </c>
      <c r="K314">
        <v>5</v>
      </c>
      <c r="L314" s="2">
        <v>0.1</v>
      </c>
      <c r="M314" s="2">
        <v>11795.58</v>
      </c>
      <c r="N314" t="s">
        <v>24</v>
      </c>
      <c r="O314" t="s">
        <v>79</v>
      </c>
      <c r="P314" t="s">
        <v>47</v>
      </c>
    </row>
    <row r="315" spans="1:16" x14ac:dyDescent="0.3">
      <c r="A315" t="s">
        <v>1310</v>
      </c>
      <c r="B315" s="1">
        <v>46319</v>
      </c>
      <c r="C315" t="s">
        <v>1027</v>
      </c>
      <c r="D315" t="s">
        <v>18</v>
      </c>
      <c r="E315" t="s">
        <v>19</v>
      </c>
      <c r="F315" t="s">
        <v>20</v>
      </c>
      <c r="G315" t="s">
        <v>32</v>
      </c>
      <c r="H315" t="s">
        <v>84</v>
      </c>
      <c r="I315" t="s">
        <v>85</v>
      </c>
      <c r="J315" s="2">
        <v>31875</v>
      </c>
      <c r="K315">
        <v>3</v>
      </c>
      <c r="L315" s="2">
        <v>0.15</v>
      </c>
      <c r="M315" s="2">
        <v>2324.65</v>
      </c>
      <c r="N315" t="s">
        <v>64</v>
      </c>
      <c r="O315" t="s">
        <v>65</v>
      </c>
      <c r="P315" t="s">
        <v>47</v>
      </c>
    </row>
    <row r="316" spans="1:16" x14ac:dyDescent="0.3">
      <c r="A316" t="s">
        <v>27</v>
      </c>
      <c r="B316" s="1">
        <v>45660</v>
      </c>
      <c r="C316" t="s">
        <v>28</v>
      </c>
      <c r="D316" t="s">
        <v>29</v>
      </c>
      <c r="E316" t="s">
        <v>30</v>
      </c>
      <c r="F316" t="s">
        <v>31</v>
      </c>
      <c r="G316" t="s">
        <v>32</v>
      </c>
      <c r="H316" t="s">
        <v>33</v>
      </c>
      <c r="I316" t="s">
        <v>34</v>
      </c>
      <c r="J316" s="2">
        <v>37200</v>
      </c>
      <c r="K316">
        <v>6</v>
      </c>
      <c r="L316" s="2">
        <v>0</v>
      </c>
      <c r="M316" s="2">
        <v>4538.62</v>
      </c>
      <c r="N316" t="s">
        <v>35</v>
      </c>
      <c r="O316" t="s">
        <v>36</v>
      </c>
      <c r="P316" t="s">
        <v>26</v>
      </c>
    </row>
    <row r="317" spans="1:16" x14ac:dyDescent="0.3">
      <c r="A317" t="s">
        <v>1244</v>
      </c>
      <c r="B317" s="1">
        <v>46278</v>
      </c>
      <c r="C317" t="s">
        <v>233</v>
      </c>
      <c r="D317" t="s">
        <v>82</v>
      </c>
      <c r="E317" t="s">
        <v>83</v>
      </c>
      <c r="F317" t="s">
        <v>52</v>
      </c>
      <c r="G317" t="s">
        <v>61</v>
      </c>
      <c r="H317" t="s">
        <v>62</v>
      </c>
      <c r="I317" t="s">
        <v>63</v>
      </c>
      <c r="J317" s="2">
        <v>3825</v>
      </c>
      <c r="K317">
        <v>5</v>
      </c>
      <c r="L317" s="2">
        <v>0.15</v>
      </c>
      <c r="M317" s="2">
        <v>955.5</v>
      </c>
      <c r="N317" t="s">
        <v>45</v>
      </c>
      <c r="O317" t="s">
        <v>135</v>
      </c>
      <c r="P317" t="s">
        <v>26</v>
      </c>
    </row>
    <row r="318" spans="1:16" x14ac:dyDescent="0.3">
      <c r="A318" t="s">
        <v>763</v>
      </c>
      <c r="B318" s="1">
        <v>45976</v>
      </c>
      <c r="C318" t="s">
        <v>764</v>
      </c>
      <c r="D318" t="s">
        <v>119</v>
      </c>
      <c r="E318" t="s">
        <v>75</v>
      </c>
      <c r="F318" t="s">
        <v>20</v>
      </c>
      <c r="G318" t="s">
        <v>32</v>
      </c>
      <c r="H318" t="s">
        <v>84</v>
      </c>
      <c r="I318" t="s">
        <v>85</v>
      </c>
      <c r="J318" s="2">
        <v>33750</v>
      </c>
      <c r="K318">
        <v>3</v>
      </c>
      <c r="L318" s="2">
        <v>0.1</v>
      </c>
      <c r="M318" s="2">
        <v>6025.79</v>
      </c>
      <c r="N318" t="s">
        <v>64</v>
      </c>
      <c r="O318" t="s">
        <v>46</v>
      </c>
      <c r="P318" t="s">
        <v>47</v>
      </c>
    </row>
    <row r="319" spans="1:16" x14ac:dyDescent="0.3">
      <c r="A319" t="s">
        <v>345</v>
      </c>
      <c r="B319" s="1">
        <v>45754</v>
      </c>
      <c r="C319" t="s">
        <v>301</v>
      </c>
      <c r="D319" t="s">
        <v>29</v>
      </c>
      <c r="E319" t="s">
        <v>30</v>
      </c>
      <c r="F319" t="s">
        <v>31</v>
      </c>
      <c r="G319" t="s">
        <v>42</v>
      </c>
      <c r="H319" t="s">
        <v>53</v>
      </c>
      <c r="I319" t="s">
        <v>120</v>
      </c>
      <c r="J319" s="2">
        <v>15120</v>
      </c>
      <c r="K319">
        <v>4</v>
      </c>
      <c r="L319" s="2">
        <v>0.1</v>
      </c>
      <c r="M319" s="2">
        <v>2222.4699999999998</v>
      </c>
      <c r="N319" t="s">
        <v>114</v>
      </c>
      <c r="O319" t="s">
        <v>36</v>
      </c>
      <c r="P319" t="s">
        <v>47</v>
      </c>
    </row>
    <row r="320" spans="1:16" x14ac:dyDescent="0.3">
      <c r="A320" t="s">
        <v>267</v>
      </c>
      <c r="B320" s="1">
        <v>45733</v>
      </c>
      <c r="C320" t="s">
        <v>268</v>
      </c>
      <c r="D320" t="s">
        <v>74</v>
      </c>
      <c r="E320" t="s">
        <v>75</v>
      </c>
      <c r="F320" t="s">
        <v>20</v>
      </c>
      <c r="G320" t="s">
        <v>42</v>
      </c>
      <c r="H320" t="s">
        <v>43</v>
      </c>
      <c r="I320" t="s">
        <v>44</v>
      </c>
      <c r="J320" s="2">
        <v>45900</v>
      </c>
      <c r="K320">
        <v>6</v>
      </c>
      <c r="L320" s="2">
        <v>0.1</v>
      </c>
      <c r="M320" s="2">
        <v>10329.950000000001</v>
      </c>
      <c r="N320" t="s">
        <v>64</v>
      </c>
      <c r="O320" t="s">
        <v>79</v>
      </c>
      <c r="P320" t="s">
        <v>26</v>
      </c>
    </row>
    <row r="321" spans="1:16" x14ac:dyDescent="0.3">
      <c r="A321" t="s">
        <v>202</v>
      </c>
      <c r="B321" s="1">
        <v>45702</v>
      </c>
      <c r="C321" t="s">
        <v>203</v>
      </c>
      <c r="D321" t="s">
        <v>39</v>
      </c>
      <c r="E321" t="s">
        <v>40</v>
      </c>
      <c r="F321" t="s">
        <v>41</v>
      </c>
      <c r="G321" t="s">
        <v>21</v>
      </c>
      <c r="H321" t="s">
        <v>179</v>
      </c>
      <c r="I321" t="s">
        <v>180</v>
      </c>
      <c r="J321" s="2">
        <v>10800</v>
      </c>
      <c r="K321">
        <v>5</v>
      </c>
      <c r="L321" s="2">
        <v>0.1</v>
      </c>
      <c r="M321" s="2">
        <v>1588.32</v>
      </c>
      <c r="N321" t="s">
        <v>114</v>
      </c>
      <c r="O321" t="s">
        <v>71</v>
      </c>
      <c r="P321" t="s">
        <v>26</v>
      </c>
    </row>
    <row r="322" spans="1:16" x14ac:dyDescent="0.3">
      <c r="A322" t="s">
        <v>924</v>
      </c>
      <c r="B322" s="1">
        <v>46073</v>
      </c>
      <c r="C322" t="s">
        <v>716</v>
      </c>
      <c r="D322" t="s">
        <v>82</v>
      </c>
      <c r="E322" t="s">
        <v>83</v>
      </c>
      <c r="F322" t="s">
        <v>52</v>
      </c>
      <c r="G322" t="s">
        <v>42</v>
      </c>
      <c r="H322" t="s">
        <v>53</v>
      </c>
      <c r="I322" t="s">
        <v>54</v>
      </c>
      <c r="J322" s="2">
        <v>9720</v>
      </c>
      <c r="K322">
        <v>6</v>
      </c>
      <c r="L322" s="2">
        <v>0.1</v>
      </c>
      <c r="M322" s="2">
        <v>1359.87</v>
      </c>
      <c r="N322" t="s">
        <v>35</v>
      </c>
      <c r="O322" t="s">
        <v>108</v>
      </c>
      <c r="P322" t="s">
        <v>55</v>
      </c>
    </row>
    <row r="323" spans="1:16" x14ac:dyDescent="0.3">
      <c r="A323" t="s">
        <v>1163</v>
      </c>
      <c r="B323" s="1">
        <v>46216</v>
      </c>
      <c r="C323" t="s">
        <v>582</v>
      </c>
      <c r="D323" t="s">
        <v>68</v>
      </c>
      <c r="E323" t="s">
        <v>69</v>
      </c>
      <c r="F323" t="s">
        <v>41</v>
      </c>
      <c r="G323" t="s">
        <v>21</v>
      </c>
      <c r="H323" t="s">
        <v>22</v>
      </c>
      <c r="I323" t="s">
        <v>111</v>
      </c>
      <c r="J323" s="2">
        <v>285</v>
      </c>
      <c r="K323">
        <v>1</v>
      </c>
      <c r="L323" s="2">
        <v>0.05</v>
      </c>
      <c r="M323" s="2">
        <v>39.58</v>
      </c>
      <c r="N323" t="s">
        <v>24</v>
      </c>
      <c r="O323" t="s">
        <v>86</v>
      </c>
      <c r="P323" t="s">
        <v>55</v>
      </c>
    </row>
    <row r="324" spans="1:16" x14ac:dyDescent="0.3">
      <c r="A324" t="s">
        <v>979</v>
      </c>
      <c r="B324" s="1">
        <v>46106</v>
      </c>
      <c r="C324" t="s">
        <v>841</v>
      </c>
      <c r="D324" t="s">
        <v>39</v>
      </c>
      <c r="E324" t="s">
        <v>40</v>
      </c>
      <c r="F324" t="s">
        <v>41</v>
      </c>
      <c r="G324" t="s">
        <v>32</v>
      </c>
      <c r="H324" t="s">
        <v>84</v>
      </c>
      <c r="I324" t="s">
        <v>140</v>
      </c>
      <c r="J324" s="2">
        <v>38250</v>
      </c>
      <c r="K324">
        <v>6</v>
      </c>
      <c r="L324" s="2">
        <v>0.15</v>
      </c>
      <c r="M324" s="2">
        <v>7731</v>
      </c>
      <c r="N324" t="s">
        <v>45</v>
      </c>
      <c r="O324" t="s">
        <v>79</v>
      </c>
      <c r="P324" t="s">
        <v>26</v>
      </c>
    </row>
    <row r="325" spans="1:16" x14ac:dyDescent="0.3">
      <c r="A325" t="s">
        <v>710</v>
      </c>
      <c r="B325" s="1">
        <v>45939</v>
      </c>
      <c r="C325" t="s">
        <v>203</v>
      </c>
      <c r="D325" t="s">
        <v>166</v>
      </c>
      <c r="E325" t="s">
        <v>75</v>
      </c>
      <c r="F325" t="s">
        <v>20</v>
      </c>
      <c r="G325" t="s">
        <v>61</v>
      </c>
      <c r="H325" t="s">
        <v>62</v>
      </c>
      <c r="I325" t="s">
        <v>63</v>
      </c>
      <c r="J325" s="2">
        <v>810</v>
      </c>
      <c r="K325">
        <v>1</v>
      </c>
      <c r="L325" s="2">
        <v>0.1</v>
      </c>
      <c r="M325" s="2">
        <v>208.36</v>
      </c>
      <c r="N325" t="s">
        <v>114</v>
      </c>
      <c r="O325" t="s">
        <v>105</v>
      </c>
      <c r="P325" t="s">
        <v>47</v>
      </c>
    </row>
    <row r="326" spans="1:16" x14ac:dyDescent="0.3">
      <c r="A326" t="s">
        <v>495</v>
      </c>
      <c r="B326" s="1">
        <v>45828</v>
      </c>
      <c r="C326" t="s">
        <v>184</v>
      </c>
      <c r="D326" t="s">
        <v>119</v>
      </c>
      <c r="E326" t="s">
        <v>75</v>
      </c>
      <c r="F326" t="s">
        <v>20</v>
      </c>
      <c r="G326" t="s">
        <v>42</v>
      </c>
      <c r="H326" t="s">
        <v>53</v>
      </c>
      <c r="I326" t="s">
        <v>54</v>
      </c>
      <c r="J326" s="2">
        <v>1440</v>
      </c>
      <c r="K326">
        <v>1</v>
      </c>
      <c r="L326" s="2">
        <v>0.2</v>
      </c>
      <c r="M326" s="2">
        <v>306.82</v>
      </c>
      <c r="N326" t="s">
        <v>114</v>
      </c>
      <c r="O326" t="s">
        <v>105</v>
      </c>
      <c r="P326" t="s">
        <v>55</v>
      </c>
    </row>
    <row r="327" spans="1:16" x14ac:dyDescent="0.3">
      <c r="A327" t="s">
        <v>335</v>
      </c>
      <c r="B327" s="1">
        <v>45750</v>
      </c>
      <c r="C327" t="s">
        <v>139</v>
      </c>
      <c r="D327" t="s">
        <v>29</v>
      </c>
      <c r="E327" t="s">
        <v>30</v>
      </c>
      <c r="F327" t="s">
        <v>31</v>
      </c>
      <c r="G327" t="s">
        <v>42</v>
      </c>
      <c r="H327" t="s">
        <v>279</v>
      </c>
      <c r="I327" t="s">
        <v>280</v>
      </c>
      <c r="J327" s="2">
        <v>11250</v>
      </c>
      <c r="K327">
        <v>1</v>
      </c>
      <c r="L327" s="2">
        <v>0.1</v>
      </c>
      <c r="M327" s="2">
        <v>2327.9499999999998</v>
      </c>
      <c r="N327" t="s">
        <v>45</v>
      </c>
      <c r="O327" t="s">
        <v>135</v>
      </c>
      <c r="P327" t="s">
        <v>47</v>
      </c>
    </row>
    <row r="328" spans="1:16" x14ac:dyDescent="0.3">
      <c r="A328" t="s">
        <v>440</v>
      </c>
      <c r="B328" s="1">
        <v>45796</v>
      </c>
      <c r="C328" t="s">
        <v>441</v>
      </c>
      <c r="D328" t="s">
        <v>91</v>
      </c>
      <c r="E328" t="s">
        <v>91</v>
      </c>
      <c r="F328" t="s">
        <v>60</v>
      </c>
      <c r="G328" t="s">
        <v>21</v>
      </c>
      <c r="H328" t="s">
        <v>22</v>
      </c>
      <c r="I328" t="s">
        <v>23</v>
      </c>
      <c r="J328" s="2">
        <v>1147.5</v>
      </c>
      <c r="K328">
        <v>3</v>
      </c>
      <c r="L328" s="2">
        <v>0.15</v>
      </c>
      <c r="M328" s="2">
        <v>167.71</v>
      </c>
      <c r="N328" t="s">
        <v>64</v>
      </c>
      <c r="O328" t="s">
        <v>86</v>
      </c>
      <c r="P328" t="s">
        <v>47</v>
      </c>
    </row>
    <row r="329" spans="1:16" x14ac:dyDescent="0.3">
      <c r="A329" t="s">
        <v>791</v>
      </c>
      <c r="B329" s="1">
        <v>45992</v>
      </c>
      <c r="C329" t="s">
        <v>194</v>
      </c>
      <c r="D329" t="s">
        <v>74</v>
      </c>
      <c r="E329" t="s">
        <v>75</v>
      </c>
      <c r="F329" t="s">
        <v>20</v>
      </c>
      <c r="G329" t="s">
        <v>32</v>
      </c>
      <c r="H329" t="s">
        <v>92</v>
      </c>
      <c r="I329" t="s">
        <v>93</v>
      </c>
      <c r="J329" s="2">
        <v>62100</v>
      </c>
      <c r="K329">
        <v>6</v>
      </c>
      <c r="L329" s="2">
        <v>0.1</v>
      </c>
      <c r="M329" s="2">
        <v>6453.05</v>
      </c>
      <c r="N329" t="s">
        <v>64</v>
      </c>
      <c r="O329" t="s">
        <v>71</v>
      </c>
      <c r="P329" t="s">
        <v>47</v>
      </c>
    </row>
    <row r="330" spans="1:16" x14ac:dyDescent="0.3">
      <c r="A330" t="s">
        <v>37</v>
      </c>
      <c r="B330" s="1">
        <v>45660</v>
      </c>
      <c r="C330" t="s">
        <v>38</v>
      </c>
      <c r="D330" t="s">
        <v>39</v>
      </c>
      <c r="E330" t="s">
        <v>40</v>
      </c>
      <c r="F330" t="s">
        <v>41</v>
      </c>
      <c r="G330" t="s">
        <v>42</v>
      </c>
      <c r="H330" t="s">
        <v>43</v>
      </c>
      <c r="I330" t="s">
        <v>44</v>
      </c>
      <c r="J330" s="2">
        <v>27200</v>
      </c>
      <c r="K330">
        <v>4</v>
      </c>
      <c r="L330" s="2">
        <v>0.2</v>
      </c>
      <c r="M330" s="2">
        <v>4770.57</v>
      </c>
      <c r="N330" t="s">
        <v>45</v>
      </c>
      <c r="O330" t="s">
        <v>46</v>
      </c>
      <c r="P330" t="s">
        <v>47</v>
      </c>
    </row>
    <row r="331" spans="1:16" x14ac:dyDescent="0.3">
      <c r="A331" t="s">
        <v>625</v>
      </c>
      <c r="B331" s="1">
        <v>45892</v>
      </c>
      <c r="C331" t="s">
        <v>626</v>
      </c>
      <c r="D331" t="s">
        <v>134</v>
      </c>
      <c r="E331" t="s">
        <v>75</v>
      </c>
      <c r="F331" t="s">
        <v>20</v>
      </c>
      <c r="G331" t="s">
        <v>21</v>
      </c>
      <c r="H331" t="s">
        <v>175</v>
      </c>
      <c r="I331" t="s">
        <v>176</v>
      </c>
      <c r="J331" s="2">
        <v>1755</v>
      </c>
      <c r="K331">
        <v>3</v>
      </c>
      <c r="L331" s="2">
        <v>0.1</v>
      </c>
      <c r="M331" s="2">
        <v>380.25</v>
      </c>
      <c r="N331" t="s">
        <v>64</v>
      </c>
      <c r="O331" t="s">
        <v>36</v>
      </c>
      <c r="P331" t="s">
        <v>55</v>
      </c>
    </row>
    <row r="332" spans="1:16" x14ac:dyDescent="0.3">
      <c r="A332" t="s">
        <v>947</v>
      </c>
      <c r="B332" s="1">
        <v>46086</v>
      </c>
      <c r="C332" t="s">
        <v>81</v>
      </c>
      <c r="D332" t="s">
        <v>68</v>
      </c>
      <c r="E332" t="s">
        <v>69</v>
      </c>
      <c r="F332" t="s">
        <v>41</v>
      </c>
      <c r="G332" t="s">
        <v>61</v>
      </c>
      <c r="H332" t="s">
        <v>128</v>
      </c>
      <c r="I332" t="s">
        <v>129</v>
      </c>
      <c r="J332" s="2">
        <v>176800</v>
      </c>
      <c r="K332">
        <v>4</v>
      </c>
      <c r="L332" s="2">
        <v>0.15</v>
      </c>
      <c r="M332" s="2">
        <v>31384.35</v>
      </c>
      <c r="N332" t="s">
        <v>24</v>
      </c>
      <c r="O332" t="s">
        <v>25</v>
      </c>
      <c r="P332" t="s">
        <v>55</v>
      </c>
    </row>
    <row r="333" spans="1:16" x14ac:dyDescent="0.3">
      <c r="A333" t="s">
        <v>967</v>
      </c>
      <c r="B333" s="1">
        <v>46099</v>
      </c>
      <c r="C333" t="s">
        <v>203</v>
      </c>
      <c r="D333" t="s">
        <v>104</v>
      </c>
      <c r="E333" t="s">
        <v>83</v>
      </c>
      <c r="F333" t="s">
        <v>52</v>
      </c>
      <c r="G333" t="s">
        <v>61</v>
      </c>
      <c r="H333" t="s">
        <v>98</v>
      </c>
      <c r="I333" t="s">
        <v>99</v>
      </c>
      <c r="J333" s="2">
        <v>142500</v>
      </c>
      <c r="K333">
        <v>5</v>
      </c>
      <c r="L333" s="2">
        <v>0.05</v>
      </c>
      <c r="M333" s="2">
        <v>29677.33</v>
      </c>
      <c r="N333" t="s">
        <v>45</v>
      </c>
      <c r="O333" t="s">
        <v>105</v>
      </c>
      <c r="P333" t="s">
        <v>47</v>
      </c>
    </row>
    <row r="334" spans="1:16" x14ac:dyDescent="0.3">
      <c r="A334" t="s">
        <v>674</v>
      </c>
      <c r="B334" s="1">
        <v>45924</v>
      </c>
      <c r="C334" t="s">
        <v>566</v>
      </c>
      <c r="D334" t="s">
        <v>134</v>
      </c>
      <c r="E334" t="s">
        <v>75</v>
      </c>
      <c r="F334" t="s">
        <v>20</v>
      </c>
      <c r="G334" t="s">
        <v>76</v>
      </c>
      <c r="H334" t="s">
        <v>77</v>
      </c>
      <c r="I334" t="s">
        <v>171</v>
      </c>
      <c r="J334" s="2">
        <v>8160</v>
      </c>
      <c r="K334">
        <v>6</v>
      </c>
      <c r="L334" s="2">
        <v>0.15</v>
      </c>
      <c r="M334" s="2">
        <v>1041.68</v>
      </c>
      <c r="N334" t="s">
        <v>45</v>
      </c>
      <c r="O334" t="s">
        <v>36</v>
      </c>
      <c r="P334" t="s">
        <v>26</v>
      </c>
    </row>
    <row r="335" spans="1:16" x14ac:dyDescent="0.3">
      <c r="A335" t="s">
        <v>1391</v>
      </c>
      <c r="B335" s="1">
        <v>46387</v>
      </c>
      <c r="C335" t="s">
        <v>329</v>
      </c>
      <c r="D335" t="s">
        <v>50</v>
      </c>
      <c r="E335" t="s">
        <v>51</v>
      </c>
      <c r="F335" t="s">
        <v>52</v>
      </c>
      <c r="G335" t="s">
        <v>76</v>
      </c>
      <c r="H335" t="s">
        <v>122</v>
      </c>
      <c r="I335" t="s">
        <v>217</v>
      </c>
      <c r="J335" s="2">
        <v>6480</v>
      </c>
      <c r="K335">
        <v>4</v>
      </c>
      <c r="L335" s="2">
        <v>0.1</v>
      </c>
      <c r="M335" s="2">
        <v>1416.34</v>
      </c>
      <c r="N335" t="s">
        <v>24</v>
      </c>
      <c r="O335" t="s">
        <v>135</v>
      </c>
      <c r="P335" t="s">
        <v>47</v>
      </c>
    </row>
    <row r="336" spans="1:16" x14ac:dyDescent="0.3">
      <c r="A336" t="s">
        <v>1332</v>
      </c>
      <c r="B336" s="1">
        <v>46335</v>
      </c>
      <c r="C336" t="s">
        <v>937</v>
      </c>
      <c r="D336" t="s">
        <v>152</v>
      </c>
      <c r="E336" t="s">
        <v>153</v>
      </c>
      <c r="F336" t="s">
        <v>20</v>
      </c>
      <c r="G336" t="s">
        <v>21</v>
      </c>
      <c r="H336" t="s">
        <v>175</v>
      </c>
      <c r="I336" t="s">
        <v>176</v>
      </c>
      <c r="J336" s="2">
        <v>617.5</v>
      </c>
      <c r="K336">
        <v>1</v>
      </c>
      <c r="L336" s="2">
        <v>0.05</v>
      </c>
      <c r="M336" s="2">
        <v>132.55000000000001</v>
      </c>
      <c r="N336" t="s">
        <v>114</v>
      </c>
      <c r="O336" t="s">
        <v>25</v>
      </c>
      <c r="P336" t="s">
        <v>47</v>
      </c>
    </row>
    <row r="337" spans="1:16" x14ac:dyDescent="0.3">
      <c r="A337" t="s">
        <v>1201</v>
      </c>
      <c r="B337" s="1">
        <v>46243</v>
      </c>
      <c r="C337" t="s">
        <v>162</v>
      </c>
      <c r="D337" t="s">
        <v>39</v>
      </c>
      <c r="E337" t="s">
        <v>40</v>
      </c>
      <c r="F337" t="s">
        <v>41</v>
      </c>
      <c r="G337" t="s">
        <v>42</v>
      </c>
      <c r="H337" t="s">
        <v>53</v>
      </c>
      <c r="I337" t="s">
        <v>120</v>
      </c>
      <c r="J337" s="2">
        <v>7980</v>
      </c>
      <c r="K337">
        <v>2</v>
      </c>
      <c r="L337" s="2">
        <v>0.05</v>
      </c>
      <c r="M337" s="2">
        <v>1630.5</v>
      </c>
      <c r="N337" t="s">
        <v>24</v>
      </c>
      <c r="O337" t="s">
        <v>46</v>
      </c>
      <c r="P337" t="s">
        <v>55</v>
      </c>
    </row>
    <row r="338" spans="1:16" x14ac:dyDescent="0.3">
      <c r="A338" t="s">
        <v>1330</v>
      </c>
      <c r="B338" s="1">
        <v>46334</v>
      </c>
      <c r="C338" t="s">
        <v>766</v>
      </c>
      <c r="D338" t="s">
        <v>82</v>
      </c>
      <c r="E338" t="s">
        <v>83</v>
      </c>
      <c r="F338" t="s">
        <v>52</v>
      </c>
      <c r="G338" t="s">
        <v>42</v>
      </c>
      <c r="H338" t="s">
        <v>53</v>
      </c>
      <c r="I338" t="s">
        <v>54</v>
      </c>
      <c r="J338" s="2">
        <v>8100</v>
      </c>
      <c r="K338">
        <v>5</v>
      </c>
      <c r="L338" s="2">
        <v>0.1</v>
      </c>
      <c r="M338" s="2">
        <v>833.89</v>
      </c>
      <c r="N338" t="s">
        <v>114</v>
      </c>
      <c r="O338" t="s">
        <v>135</v>
      </c>
      <c r="P338" t="s">
        <v>55</v>
      </c>
    </row>
    <row r="339" spans="1:16" x14ac:dyDescent="0.3">
      <c r="A339" t="s">
        <v>1086</v>
      </c>
      <c r="B339" s="1">
        <v>46161</v>
      </c>
      <c r="C339" t="s">
        <v>728</v>
      </c>
      <c r="D339" t="s">
        <v>104</v>
      </c>
      <c r="E339" t="s">
        <v>83</v>
      </c>
      <c r="F339" t="s">
        <v>52</v>
      </c>
      <c r="G339" t="s">
        <v>21</v>
      </c>
      <c r="H339" t="s">
        <v>22</v>
      </c>
      <c r="I339" t="s">
        <v>111</v>
      </c>
      <c r="J339" s="2">
        <v>510</v>
      </c>
      <c r="K339">
        <v>2</v>
      </c>
      <c r="L339" s="2">
        <v>0.15</v>
      </c>
      <c r="M339" s="2">
        <v>79.19</v>
      </c>
      <c r="N339" t="s">
        <v>114</v>
      </c>
      <c r="O339" t="s">
        <v>46</v>
      </c>
      <c r="P339" t="s">
        <v>26</v>
      </c>
    </row>
    <row r="340" spans="1:16" x14ac:dyDescent="0.3">
      <c r="A340" t="s">
        <v>704</v>
      </c>
      <c r="B340" s="1">
        <v>45933</v>
      </c>
      <c r="C340" t="s">
        <v>666</v>
      </c>
      <c r="D340" t="s">
        <v>82</v>
      </c>
      <c r="E340" t="s">
        <v>83</v>
      </c>
      <c r="F340" t="s">
        <v>52</v>
      </c>
      <c r="G340" t="s">
        <v>61</v>
      </c>
      <c r="H340" t="s">
        <v>98</v>
      </c>
      <c r="I340" t="s">
        <v>156</v>
      </c>
      <c r="J340" s="2">
        <v>34200</v>
      </c>
      <c r="K340">
        <v>1</v>
      </c>
      <c r="L340" s="2">
        <v>0.1</v>
      </c>
      <c r="M340" s="2">
        <v>2992.57</v>
      </c>
      <c r="N340" t="s">
        <v>114</v>
      </c>
      <c r="O340" t="s">
        <v>108</v>
      </c>
      <c r="P340" t="s">
        <v>55</v>
      </c>
    </row>
    <row r="341" spans="1:16" x14ac:dyDescent="0.3">
      <c r="A341" t="s">
        <v>1068</v>
      </c>
      <c r="B341" s="1">
        <v>46156</v>
      </c>
      <c r="C341" t="s">
        <v>706</v>
      </c>
      <c r="D341" t="s">
        <v>39</v>
      </c>
      <c r="E341" t="s">
        <v>40</v>
      </c>
      <c r="F341" t="s">
        <v>41</v>
      </c>
      <c r="G341" t="s">
        <v>21</v>
      </c>
      <c r="H341" t="s">
        <v>179</v>
      </c>
      <c r="I341" t="s">
        <v>180</v>
      </c>
      <c r="J341" s="2">
        <v>11400</v>
      </c>
      <c r="K341">
        <v>5</v>
      </c>
      <c r="L341" s="2">
        <v>0.05</v>
      </c>
      <c r="M341" s="2">
        <v>3024.12</v>
      </c>
      <c r="N341" t="s">
        <v>24</v>
      </c>
      <c r="O341" t="s">
        <v>105</v>
      </c>
      <c r="P341" t="s">
        <v>55</v>
      </c>
    </row>
    <row r="342" spans="1:16" x14ac:dyDescent="0.3">
      <c r="A342" t="s">
        <v>624</v>
      </c>
      <c r="B342" s="1">
        <v>45892</v>
      </c>
      <c r="C342" t="s">
        <v>435</v>
      </c>
      <c r="D342" t="s">
        <v>82</v>
      </c>
      <c r="E342" t="s">
        <v>83</v>
      </c>
      <c r="F342" t="s">
        <v>52</v>
      </c>
      <c r="G342" t="s">
        <v>61</v>
      </c>
      <c r="H342" t="s">
        <v>62</v>
      </c>
      <c r="I342" t="s">
        <v>70</v>
      </c>
      <c r="J342" s="2">
        <v>3240</v>
      </c>
      <c r="K342">
        <v>2</v>
      </c>
      <c r="L342" s="2">
        <v>0.1</v>
      </c>
      <c r="M342" s="2">
        <v>438.91</v>
      </c>
      <c r="N342" t="s">
        <v>114</v>
      </c>
      <c r="O342" t="s">
        <v>105</v>
      </c>
      <c r="P342" t="s">
        <v>26</v>
      </c>
    </row>
    <row r="343" spans="1:16" x14ac:dyDescent="0.3">
      <c r="A343" t="s">
        <v>1182</v>
      </c>
      <c r="B343" s="1">
        <v>46230</v>
      </c>
      <c r="C343" t="s">
        <v>743</v>
      </c>
      <c r="D343" t="s">
        <v>58</v>
      </c>
      <c r="E343" t="s">
        <v>59</v>
      </c>
      <c r="F343" t="s">
        <v>60</v>
      </c>
      <c r="G343" t="s">
        <v>32</v>
      </c>
      <c r="H343" t="s">
        <v>84</v>
      </c>
      <c r="I343" t="s">
        <v>85</v>
      </c>
      <c r="J343" s="2">
        <v>56250</v>
      </c>
      <c r="K343">
        <v>5</v>
      </c>
      <c r="L343" s="2">
        <v>0.1</v>
      </c>
      <c r="M343" s="2">
        <v>12084.72</v>
      </c>
      <c r="N343" t="s">
        <v>24</v>
      </c>
      <c r="O343" t="s">
        <v>135</v>
      </c>
      <c r="P343" t="s">
        <v>55</v>
      </c>
    </row>
    <row r="344" spans="1:16" x14ac:dyDescent="0.3">
      <c r="A344" t="s">
        <v>1170</v>
      </c>
      <c r="B344" s="1">
        <v>46219</v>
      </c>
      <c r="C344" t="s">
        <v>366</v>
      </c>
      <c r="D344" t="s">
        <v>18</v>
      </c>
      <c r="E344" t="s">
        <v>19</v>
      </c>
      <c r="F344" t="s">
        <v>20</v>
      </c>
      <c r="G344" t="s">
        <v>32</v>
      </c>
      <c r="H344" t="s">
        <v>92</v>
      </c>
      <c r="I344" t="s">
        <v>93</v>
      </c>
      <c r="J344" s="2">
        <v>41400</v>
      </c>
      <c r="K344">
        <v>4</v>
      </c>
      <c r="L344" s="2">
        <v>0.1</v>
      </c>
      <c r="M344" s="2">
        <v>4445.1499999999996</v>
      </c>
      <c r="N344" t="s">
        <v>64</v>
      </c>
      <c r="O344" t="s">
        <v>108</v>
      </c>
      <c r="P344" t="s">
        <v>47</v>
      </c>
    </row>
    <row r="345" spans="1:16" x14ac:dyDescent="0.3">
      <c r="A345" t="s">
        <v>1008</v>
      </c>
      <c r="B345" s="1">
        <v>46128</v>
      </c>
      <c r="C345" t="s">
        <v>555</v>
      </c>
      <c r="D345" t="s">
        <v>91</v>
      </c>
      <c r="E345" t="s">
        <v>91</v>
      </c>
      <c r="F345" t="s">
        <v>60</v>
      </c>
      <c r="G345" t="s">
        <v>21</v>
      </c>
      <c r="H345" t="s">
        <v>175</v>
      </c>
      <c r="I345" t="s">
        <v>176</v>
      </c>
      <c r="J345" s="2">
        <v>1657.5</v>
      </c>
      <c r="K345">
        <v>3</v>
      </c>
      <c r="L345" s="2">
        <v>0.15</v>
      </c>
      <c r="M345" s="2">
        <v>218.84</v>
      </c>
      <c r="N345" t="s">
        <v>24</v>
      </c>
      <c r="O345" t="s">
        <v>105</v>
      </c>
      <c r="P345" t="s">
        <v>55</v>
      </c>
    </row>
    <row r="346" spans="1:16" x14ac:dyDescent="0.3">
      <c r="A346" t="s">
        <v>664</v>
      </c>
      <c r="B346" s="1">
        <v>45917</v>
      </c>
      <c r="C346" t="s">
        <v>472</v>
      </c>
      <c r="D346" t="s">
        <v>91</v>
      </c>
      <c r="E346" t="s">
        <v>91</v>
      </c>
      <c r="F346" t="s">
        <v>60</v>
      </c>
      <c r="G346" t="s">
        <v>21</v>
      </c>
      <c r="H346" t="s">
        <v>22</v>
      </c>
      <c r="I346" t="s">
        <v>23</v>
      </c>
      <c r="J346" s="2">
        <v>450</v>
      </c>
      <c r="K346">
        <v>1</v>
      </c>
      <c r="L346" s="2">
        <v>0</v>
      </c>
      <c r="M346" s="2">
        <v>85.92</v>
      </c>
      <c r="N346" t="s">
        <v>24</v>
      </c>
      <c r="O346" t="s">
        <v>79</v>
      </c>
      <c r="P346" t="s">
        <v>47</v>
      </c>
    </row>
    <row r="347" spans="1:16" x14ac:dyDescent="0.3">
      <c r="A347" t="s">
        <v>859</v>
      </c>
      <c r="B347" s="1">
        <v>46032</v>
      </c>
      <c r="C347" t="s">
        <v>133</v>
      </c>
      <c r="D347" t="s">
        <v>166</v>
      </c>
      <c r="E347" t="s">
        <v>75</v>
      </c>
      <c r="F347" t="s">
        <v>20</v>
      </c>
      <c r="G347" t="s">
        <v>21</v>
      </c>
      <c r="H347" t="s">
        <v>22</v>
      </c>
      <c r="I347" t="s">
        <v>23</v>
      </c>
      <c r="J347" s="2">
        <v>2700</v>
      </c>
      <c r="K347">
        <v>6</v>
      </c>
      <c r="L347" s="2">
        <v>0</v>
      </c>
      <c r="M347" s="2">
        <v>226.34</v>
      </c>
      <c r="N347" t="s">
        <v>24</v>
      </c>
      <c r="O347" t="s">
        <v>86</v>
      </c>
      <c r="P347" t="s">
        <v>47</v>
      </c>
    </row>
    <row r="348" spans="1:16" x14ac:dyDescent="0.3">
      <c r="A348" t="s">
        <v>960</v>
      </c>
      <c r="B348" s="1">
        <v>46095</v>
      </c>
      <c r="C348" t="s">
        <v>961</v>
      </c>
      <c r="D348" t="s">
        <v>134</v>
      </c>
      <c r="E348" t="s">
        <v>75</v>
      </c>
      <c r="F348" t="s">
        <v>20</v>
      </c>
      <c r="G348" t="s">
        <v>76</v>
      </c>
      <c r="H348" t="s">
        <v>77</v>
      </c>
      <c r="I348" t="s">
        <v>78</v>
      </c>
      <c r="J348" s="2">
        <v>8640</v>
      </c>
      <c r="K348">
        <v>4</v>
      </c>
      <c r="L348" s="2">
        <v>0.1</v>
      </c>
      <c r="M348" s="2">
        <v>1329.18</v>
      </c>
      <c r="N348" t="s">
        <v>24</v>
      </c>
      <c r="O348" t="s">
        <v>86</v>
      </c>
      <c r="P348" t="s">
        <v>55</v>
      </c>
    </row>
    <row r="349" spans="1:16" x14ac:dyDescent="0.3">
      <c r="A349" t="s">
        <v>458</v>
      </c>
      <c r="B349" s="1">
        <v>45801</v>
      </c>
      <c r="C349" t="s">
        <v>441</v>
      </c>
      <c r="D349" t="s">
        <v>82</v>
      </c>
      <c r="E349" t="s">
        <v>83</v>
      </c>
      <c r="F349" t="s">
        <v>52</v>
      </c>
      <c r="G349" t="s">
        <v>42</v>
      </c>
      <c r="H349" t="s">
        <v>53</v>
      </c>
      <c r="I349" t="s">
        <v>120</v>
      </c>
      <c r="J349" s="2">
        <v>8400</v>
      </c>
      <c r="K349">
        <v>2</v>
      </c>
      <c r="L349" s="2">
        <v>0</v>
      </c>
      <c r="M349" s="2">
        <v>1691.5</v>
      </c>
      <c r="N349" t="s">
        <v>45</v>
      </c>
      <c r="O349" t="s">
        <v>46</v>
      </c>
      <c r="P349" t="s">
        <v>26</v>
      </c>
    </row>
    <row r="350" spans="1:16" x14ac:dyDescent="0.3">
      <c r="A350" t="s">
        <v>509</v>
      </c>
      <c r="B350" s="1">
        <v>45836</v>
      </c>
      <c r="C350" t="s">
        <v>144</v>
      </c>
      <c r="D350" t="s">
        <v>50</v>
      </c>
      <c r="E350" t="s">
        <v>51</v>
      </c>
      <c r="F350" t="s">
        <v>52</v>
      </c>
      <c r="G350" t="s">
        <v>76</v>
      </c>
      <c r="H350" t="s">
        <v>122</v>
      </c>
      <c r="I350" t="s">
        <v>123</v>
      </c>
      <c r="J350" s="2">
        <v>5940</v>
      </c>
      <c r="K350">
        <v>3</v>
      </c>
      <c r="L350" s="2">
        <v>0.1</v>
      </c>
      <c r="M350" s="2">
        <v>738.21</v>
      </c>
      <c r="N350" t="s">
        <v>35</v>
      </c>
      <c r="O350" t="s">
        <v>25</v>
      </c>
      <c r="P350" t="s">
        <v>55</v>
      </c>
    </row>
    <row r="351" spans="1:16" x14ac:dyDescent="0.3">
      <c r="A351" t="s">
        <v>1256</v>
      </c>
      <c r="B351" s="1">
        <v>46288</v>
      </c>
      <c r="C351" t="s">
        <v>289</v>
      </c>
      <c r="D351" t="s">
        <v>96</v>
      </c>
      <c r="E351" t="s">
        <v>97</v>
      </c>
      <c r="F351" t="s">
        <v>20</v>
      </c>
      <c r="G351" t="s">
        <v>76</v>
      </c>
      <c r="H351" t="s">
        <v>122</v>
      </c>
      <c r="I351" t="s">
        <v>123</v>
      </c>
      <c r="J351" s="2">
        <v>11000</v>
      </c>
      <c r="K351">
        <v>5</v>
      </c>
      <c r="L351" s="2">
        <v>0</v>
      </c>
      <c r="M351" s="2">
        <v>1617.61</v>
      </c>
      <c r="N351" t="s">
        <v>64</v>
      </c>
      <c r="O351" t="s">
        <v>108</v>
      </c>
      <c r="P351" t="s">
        <v>47</v>
      </c>
    </row>
    <row r="352" spans="1:16" x14ac:dyDescent="0.3">
      <c r="A352" t="s">
        <v>703</v>
      </c>
      <c r="B352" s="1">
        <v>45933</v>
      </c>
      <c r="C352" t="s">
        <v>398</v>
      </c>
      <c r="D352" t="s">
        <v>39</v>
      </c>
      <c r="E352" t="s">
        <v>40</v>
      </c>
      <c r="F352" t="s">
        <v>41</v>
      </c>
      <c r="G352" t="s">
        <v>61</v>
      </c>
      <c r="H352" t="s">
        <v>98</v>
      </c>
      <c r="I352" t="s">
        <v>156</v>
      </c>
      <c r="J352" s="2">
        <v>76000</v>
      </c>
      <c r="K352">
        <v>2</v>
      </c>
      <c r="L352" s="2">
        <v>0</v>
      </c>
      <c r="M352" s="2">
        <v>9284.06</v>
      </c>
      <c r="N352" t="s">
        <v>35</v>
      </c>
      <c r="O352" t="s">
        <v>65</v>
      </c>
      <c r="P352" t="s">
        <v>55</v>
      </c>
    </row>
    <row r="353" spans="1:16" x14ac:dyDescent="0.3">
      <c r="A353" t="s">
        <v>827</v>
      </c>
      <c r="B353" s="1">
        <v>46017</v>
      </c>
      <c r="C353" t="s">
        <v>706</v>
      </c>
      <c r="D353" t="s">
        <v>104</v>
      </c>
      <c r="E353" t="s">
        <v>83</v>
      </c>
      <c r="F353" t="s">
        <v>52</v>
      </c>
      <c r="G353" t="s">
        <v>21</v>
      </c>
      <c r="H353" t="s">
        <v>22</v>
      </c>
      <c r="I353" t="s">
        <v>23</v>
      </c>
      <c r="J353" s="2">
        <v>2700</v>
      </c>
      <c r="K353">
        <v>6</v>
      </c>
      <c r="L353" s="2">
        <v>0</v>
      </c>
      <c r="M353" s="2">
        <v>277.79000000000002</v>
      </c>
      <c r="N353" t="s">
        <v>114</v>
      </c>
      <c r="O353" t="s">
        <v>86</v>
      </c>
      <c r="P353" t="s">
        <v>47</v>
      </c>
    </row>
    <row r="354" spans="1:16" x14ac:dyDescent="0.3">
      <c r="A354" t="s">
        <v>1098</v>
      </c>
      <c r="B354" s="1">
        <v>46173</v>
      </c>
      <c r="C354" t="s">
        <v>398</v>
      </c>
      <c r="D354" t="s">
        <v>152</v>
      </c>
      <c r="E354" t="s">
        <v>153</v>
      </c>
      <c r="F354" t="s">
        <v>20</v>
      </c>
      <c r="G354" t="s">
        <v>32</v>
      </c>
      <c r="H354" t="s">
        <v>84</v>
      </c>
      <c r="I354" t="s">
        <v>85</v>
      </c>
      <c r="J354" s="2">
        <v>59375</v>
      </c>
      <c r="K354">
        <v>5</v>
      </c>
      <c r="L354" s="2">
        <v>0.05</v>
      </c>
      <c r="M354" s="2">
        <v>16133.62</v>
      </c>
      <c r="N354" t="s">
        <v>35</v>
      </c>
      <c r="O354" t="s">
        <v>46</v>
      </c>
      <c r="P354" t="s">
        <v>55</v>
      </c>
    </row>
    <row r="355" spans="1:16" x14ac:dyDescent="0.3">
      <c r="A355" t="s">
        <v>818</v>
      </c>
      <c r="B355" s="1">
        <v>46012</v>
      </c>
      <c r="C355" t="s">
        <v>719</v>
      </c>
      <c r="D355" t="s">
        <v>68</v>
      </c>
      <c r="E355" t="s">
        <v>69</v>
      </c>
      <c r="F355" t="s">
        <v>41</v>
      </c>
      <c r="G355" t="s">
        <v>21</v>
      </c>
      <c r="H355" t="s">
        <v>22</v>
      </c>
      <c r="I355" t="s">
        <v>111</v>
      </c>
      <c r="J355" s="2">
        <v>1350</v>
      </c>
      <c r="K355">
        <v>5</v>
      </c>
      <c r="L355" s="2">
        <v>0.1</v>
      </c>
      <c r="M355" s="2">
        <v>307.89999999999998</v>
      </c>
      <c r="N355" t="s">
        <v>64</v>
      </c>
      <c r="O355" t="s">
        <v>25</v>
      </c>
      <c r="P355" t="s">
        <v>55</v>
      </c>
    </row>
    <row r="356" spans="1:16" x14ac:dyDescent="0.3">
      <c r="A356" t="s">
        <v>315</v>
      </c>
      <c r="B356" s="1">
        <v>45746</v>
      </c>
      <c r="C356" t="s">
        <v>316</v>
      </c>
      <c r="D356" t="s">
        <v>96</v>
      </c>
      <c r="E356" t="s">
        <v>97</v>
      </c>
      <c r="F356" t="s">
        <v>20</v>
      </c>
      <c r="G356" t="s">
        <v>32</v>
      </c>
      <c r="H356" t="s">
        <v>84</v>
      </c>
      <c r="I356" t="s">
        <v>140</v>
      </c>
      <c r="J356" s="2">
        <v>14250</v>
      </c>
      <c r="K356">
        <v>2</v>
      </c>
      <c r="L356" s="2">
        <v>0.05</v>
      </c>
      <c r="M356" s="2">
        <v>2127.64</v>
      </c>
      <c r="N356" t="s">
        <v>45</v>
      </c>
      <c r="O356" t="s">
        <v>86</v>
      </c>
      <c r="P356" t="s">
        <v>26</v>
      </c>
    </row>
    <row r="357" spans="1:16" x14ac:dyDescent="0.3">
      <c r="A357" t="s">
        <v>295</v>
      </c>
      <c r="B357" s="1">
        <v>45739</v>
      </c>
      <c r="C357" t="s">
        <v>296</v>
      </c>
      <c r="D357" t="s">
        <v>96</v>
      </c>
      <c r="E357" t="s">
        <v>97</v>
      </c>
      <c r="F357" t="s">
        <v>20</v>
      </c>
      <c r="G357" t="s">
        <v>61</v>
      </c>
      <c r="H357" t="s">
        <v>62</v>
      </c>
      <c r="I357" t="s">
        <v>63</v>
      </c>
      <c r="J357" s="2">
        <v>765</v>
      </c>
      <c r="K357">
        <v>1</v>
      </c>
      <c r="L357" s="2">
        <v>0.15</v>
      </c>
      <c r="M357" s="2">
        <v>199.17</v>
      </c>
      <c r="N357" t="s">
        <v>24</v>
      </c>
      <c r="O357" t="s">
        <v>79</v>
      </c>
      <c r="P357" t="s">
        <v>55</v>
      </c>
    </row>
    <row r="358" spans="1:16" x14ac:dyDescent="0.3">
      <c r="A358" t="s">
        <v>595</v>
      </c>
      <c r="B358" s="1">
        <v>45881</v>
      </c>
      <c r="C358" t="s">
        <v>407</v>
      </c>
      <c r="D358" t="s">
        <v>68</v>
      </c>
      <c r="E358" t="s">
        <v>69</v>
      </c>
      <c r="F358" t="s">
        <v>41</v>
      </c>
      <c r="G358" t="s">
        <v>32</v>
      </c>
      <c r="H358" t="s">
        <v>33</v>
      </c>
      <c r="I358" t="s">
        <v>34</v>
      </c>
      <c r="J358" s="2">
        <v>12400</v>
      </c>
      <c r="K358">
        <v>2</v>
      </c>
      <c r="L358" s="2">
        <v>0</v>
      </c>
      <c r="M358" s="2">
        <v>2724.36</v>
      </c>
      <c r="N358" t="s">
        <v>114</v>
      </c>
      <c r="O358" t="s">
        <v>25</v>
      </c>
      <c r="P358" t="s">
        <v>26</v>
      </c>
    </row>
    <row r="359" spans="1:16" x14ac:dyDescent="0.3">
      <c r="A359" t="s">
        <v>1151</v>
      </c>
      <c r="B359" s="1">
        <v>46208</v>
      </c>
      <c r="C359" t="s">
        <v>1124</v>
      </c>
      <c r="D359" t="s">
        <v>104</v>
      </c>
      <c r="E359" t="s">
        <v>83</v>
      </c>
      <c r="F359" t="s">
        <v>52</v>
      </c>
      <c r="G359" t="s">
        <v>21</v>
      </c>
      <c r="H359" t="s">
        <v>22</v>
      </c>
      <c r="I359" t="s">
        <v>23</v>
      </c>
      <c r="J359" s="2">
        <v>405</v>
      </c>
      <c r="K359">
        <v>1</v>
      </c>
      <c r="L359" s="2">
        <v>0.1</v>
      </c>
      <c r="M359" s="2">
        <v>99.18</v>
      </c>
      <c r="N359" t="s">
        <v>114</v>
      </c>
      <c r="O359" t="s">
        <v>79</v>
      </c>
      <c r="P359" t="s">
        <v>55</v>
      </c>
    </row>
    <row r="360" spans="1:16" x14ac:dyDescent="0.3">
      <c r="A360" t="s">
        <v>1376</v>
      </c>
      <c r="B360" s="1">
        <v>46377</v>
      </c>
      <c r="C360" t="s">
        <v>454</v>
      </c>
      <c r="D360" t="s">
        <v>82</v>
      </c>
      <c r="E360" t="s">
        <v>83</v>
      </c>
      <c r="F360" t="s">
        <v>52</v>
      </c>
      <c r="G360" t="s">
        <v>76</v>
      </c>
      <c r="H360" t="s">
        <v>77</v>
      </c>
      <c r="I360" t="s">
        <v>171</v>
      </c>
      <c r="J360" s="2">
        <v>8160</v>
      </c>
      <c r="K360">
        <v>6</v>
      </c>
      <c r="L360" s="2">
        <v>0.15</v>
      </c>
      <c r="M360" s="2">
        <v>1342.77</v>
      </c>
      <c r="N360" t="s">
        <v>64</v>
      </c>
      <c r="O360" t="s">
        <v>79</v>
      </c>
      <c r="P360" t="s">
        <v>47</v>
      </c>
    </row>
    <row r="361" spans="1:16" x14ac:dyDescent="0.3">
      <c r="A361" t="s">
        <v>1362</v>
      </c>
      <c r="B361" s="1">
        <v>46359</v>
      </c>
      <c r="C361" t="s">
        <v>194</v>
      </c>
      <c r="D361" t="s">
        <v>29</v>
      </c>
      <c r="E361" t="s">
        <v>30</v>
      </c>
      <c r="F361" t="s">
        <v>31</v>
      </c>
      <c r="G361" t="s">
        <v>42</v>
      </c>
      <c r="H361" t="s">
        <v>43</v>
      </c>
      <c r="I361" t="s">
        <v>44</v>
      </c>
      <c r="J361" s="2">
        <v>24225</v>
      </c>
      <c r="K361">
        <v>3</v>
      </c>
      <c r="L361" s="2">
        <v>0.05</v>
      </c>
      <c r="M361" s="2">
        <v>5342.26</v>
      </c>
      <c r="N361" t="s">
        <v>64</v>
      </c>
      <c r="O361" t="s">
        <v>105</v>
      </c>
      <c r="P361" t="s">
        <v>47</v>
      </c>
    </row>
    <row r="362" spans="1:16" x14ac:dyDescent="0.3">
      <c r="A362" t="s">
        <v>701</v>
      </c>
      <c r="B362" s="1">
        <v>45933</v>
      </c>
      <c r="C362" t="s">
        <v>702</v>
      </c>
      <c r="D362" t="s">
        <v>134</v>
      </c>
      <c r="E362" t="s">
        <v>75</v>
      </c>
      <c r="F362" t="s">
        <v>20</v>
      </c>
      <c r="G362" t="s">
        <v>61</v>
      </c>
      <c r="H362" t="s">
        <v>62</v>
      </c>
      <c r="I362" t="s">
        <v>70</v>
      </c>
      <c r="J362" s="2">
        <v>7200</v>
      </c>
      <c r="K362">
        <v>4</v>
      </c>
      <c r="L362" s="2">
        <v>0</v>
      </c>
      <c r="M362" s="2">
        <v>1829.76</v>
      </c>
      <c r="N362" t="s">
        <v>64</v>
      </c>
      <c r="O362" t="s">
        <v>79</v>
      </c>
      <c r="P362" t="s">
        <v>26</v>
      </c>
    </row>
    <row r="363" spans="1:16" x14ac:dyDescent="0.3">
      <c r="A363" t="s">
        <v>779</v>
      </c>
      <c r="B363" s="1">
        <v>45985</v>
      </c>
      <c r="C363" t="s">
        <v>530</v>
      </c>
      <c r="D363" t="s">
        <v>119</v>
      </c>
      <c r="E363" t="s">
        <v>75</v>
      </c>
      <c r="F363" t="s">
        <v>20</v>
      </c>
      <c r="G363" t="s">
        <v>32</v>
      </c>
      <c r="H363" t="s">
        <v>84</v>
      </c>
      <c r="I363" t="s">
        <v>140</v>
      </c>
      <c r="J363" s="2">
        <v>14250</v>
      </c>
      <c r="K363">
        <v>2</v>
      </c>
      <c r="L363" s="2">
        <v>0.05</v>
      </c>
      <c r="M363" s="2">
        <v>3740.3</v>
      </c>
      <c r="N363" t="s">
        <v>35</v>
      </c>
      <c r="O363" t="s">
        <v>46</v>
      </c>
      <c r="P363" t="s">
        <v>26</v>
      </c>
    </row>
    <row r="364" spans="1:16" x14ac:dyDescent="0.3">
      <c r="A364" t="s">
        <v>117</v>
      </c>
      <c r="B364" s="1">
        <v>45670</v>
      </c>
      <c r="C364" t="s">
        <v>118</v>
      </c>
      <c r="D364" t="s">
        <v>119</v>
      </c>
      <c r="E364" t="s">
        <v>75</v>
      </c>
      <c r="F364" t="s">
        <v>20</v>
      </c>
      <c r="G364" t="s">
        <v>42</v>
      </c>
      <c r="H364" t="s">
        <v>53</v>
      </c>
      <c r="I364" t="s">
        <v>120</v>
      </c>
      <c r="J364" s="2">
        <v>7140</v>
      </c>
      <c r="K364">
        <v>2</v>
      </c>
      <c r="L364" s="2">
        <v>0.15</v>
      </c>
      <c r="M364" s="2">
        <v>1174.7</v>
      </c>
      <c r="N364" t="s">
        <v>35</v>
      </c>
      <c r="O364" t="s">
        <v>105</v>
      </c>
      <c r="P364" t="s">
        <v>47</v>
      </c>
    </row>
    <row r="365" spans="1:16" x14ac:dyDescent="0.3">
      <c r="A365" t="s">
        <v>1031</v>
      </c>
      <c r="B365" s="1">
        <v>46136</v>
      </c>
      <c r="C365" t="s">
        <v>848</v>
      </c>
      <c r="D365" t="s">
        <v>104</v>
      </c>
      <c r="E365" t="s">
        <v>83</v>
      </c>
      <c r="F365" t="s">
        <v>52</v>
      </c>
      <c r="G365" t="s">
        <v>61</v>
      </c>
      <c r="H365" t="s">
        <v>128</v>
      </c>
      <c r="I365" t="s">
        <v>129</v>
      </c>
      <c r="J365" s="2">
        <v>140400</v>
      </c>
      <c r="K365">
        <v>3</v>
      </c>
      <c r="L365" s="2">
        <v>0.1</v>
      </c>
      <c r="M365" s="2">
        <v>35383.97</v>
      </c>
      <c r="N365" t="s">
        <v>64</v>
      </c>
      <c r="O365" t="s">
        <v>36</v>
      </c>
      <c r="P365" t="s">
        <v>26</v>
      </c>
    </row>
    <row r="366" spans="1:16" x14ac:dyDescent="0.3">
      <c r="A366" t="s">
        <v>442</v>
      </c>
      <c r="B366" s="1">
        <v>45797</v>
      </c>
      <c r="C366" t="s">
        <v>340</v>
      </c>
      <c r="D366" t="s">
        <v>82</v>
      </c>
      <c r="E366" t="s">
        <v>83</v>
      </c>
      <c r="F366" t="s">
        <v>52</v>
      </c>
      <c r="G366" t="s">
        <v>76</v>
      </c>
      <c r="H366" t="s">
        <v>122</v>
      </c>
      <c r="I366" t="s">
        <v>123</v>
      </c>
      <c r="J366" s="2">
        <v>5610</v>
      </c>
      <c r="K366">
        <v>3</v>
      </c>
      <c r="L366" s="2">
        <v>0.15</v>
      </c>
      <c r="M366" s="2">
        <v>620.24</v>
      </c>
      <c r="N366" t="s">
        <v>64</v>
      </c>
      <c r="O366" t="s">
        <v>36</v>
      </c>
      <c r="P366" t="s">
        <v>55</v>
      </c>
    </row>
    <row r="367" spans="1:16" x14ac:dyDescent="0.3">
      <c r="A367" t="s">
        <v>693</v>
      </c>
      <c r="B367" s="1">
        <v>45930</v>
      </c>
      <c r="C367" t="s">
        <v>694</v>
      </c>
      <c r="D367" t="s">
        <v>173</v>
      </c>
      <c r="E367" t="s">
        <v>174</v>
      </c>
      <c r="F367" t="s">
        <v>60</v>
      </c>
      <c r="G367" t="s">
        <v>42</v>
      </c>
      <c r="H367" t="s">
        <v>43</v>
      </c>
      <c r="I367" t="s">
        <v>44</v>
      </c>
      <c r="J367" s="2">
        <v>16150</v>
      </c>
      <c r="K367">
        <v>2</v>
      </c>
      <c r="L367" s="2">
        <v>0.05</v>
      </c>
      <c r="M367" s="2">
        <v>3666.48</v>
      </c>
      <c r="N367" t="s">
        <v>114</v>
      </c>
      <c r="O367" t="s">
        <v>105</v>
      </c>
      <c r="P367" t="s">
        <v>26</v>
      </c>
    </row>
    <row r="368" spans="1:16" x14ac:dyDescent="0.3">
      <c r="A368" t="s">
        <v>1371</v>
      </c>
      <c r="B368" s="1">
        <v>46369</v>
      </c>
      <c r="C368" t="s">
        <v>303</v>
      </c>
      <c r="D368" t="s">
        <v>18</v>
      </c>
      <c r="E368" t="s">
        <v>19</v>
      </c>
      <c r="F368" t="s">
        <v>20</v>
      </c>
      <c r="G368" t="s">
        <v>76</v>
      </c>
      <c r="H368" t="s">
        <v>122</v>
      </c>
      <c r="I368" t="s">
        <v>217</v>
      </c>
      <c r="J368" s="2">
        <v>10800</v>
      </c>
      <c r="K368">
        <v>6</v>
      </c>
      <c r="L368" s="2">
        <v>0</v>
      </c>
      <c r="M368" s="2">
        <v>905.38</v>
      </c>
      <c r="N368" t="s">
        <v>45</v>
      </c>
      <c r="O368" t="s">
        <v>135</v>
      </c>
      <c r="P368" t="s">
        <v>55</v>
      </c>
    </row>
    <row r="369" spans="1:16" x14ac:dyDescent="0.3">
      <c r="A369" t="s">
        <v>691</v>
      </c>
      <c r="B369" s="1">
        <v>45930</v>
      </c>
      <c r="C369" t="s">
        <v>404</v>
      </c>
      <c r="D369" t="s">
        <v>18</v>
      </c>
      <c r="E369" t="s">
        <v>19</v>
      </c>
      <c r="F369" t="s">
        <v>20</v>
      </c>
      <c r="G369" t="s">
        <v>61</v>
      </c>
      <c r="H369" t="s">
        <v>98</v>
      </c>
      <c r="I369" t="s">
        <v>156</v>
      </c>
      <c r="J369" s="2">
        <v>68400</v>
      </c>
      <c r="K369">
        <v>2</v>
      </c>
      <c r="L369" s="2">
        <v>0.1</v>
      </c>
      <c r="M369" s="2">
        <v>17714.650000000001</v>
      </c>
      <c r="N369" t="s">
        <v>24</v>
      </c>
      <c r="O369" t="s">
        <v>71</v>
      </c>
      <c r="P369" t="s">
        <v>47</v>
      </c>
    </row>
    <row r="370" spans="1:16" x14ac:dyDescent="0.3">
      <c r="A370" t="s">
        <v>685</v>
      </c>
      <c r="B370" s="1">
        <v>45926</v>
      </c>
      <c r="C370" t="s">
        <v>229</v>
      </c>
      <c r="D370" t="s">
        <v>152</v>
      </c>
      <c r="E370" t="s">
        <v>153</v>
      </c>
      <c r="F370" t="s">
        <v>20</v>
      </c>
      <c r="G370" t="s">
        <v>21</v>
      </c>
      <c r="H370" t="s">
        <v>175</v>
      </c>
      <c r="I370" t="s">
        <v>176</v>
      </c>
      <c r="J370" s="2">
        <v>2470</v>
      </c>
      <c r="K370">
        <v>4</v>
      </c>
      <c r="L370" s="2">
        <v>0.05</v>
      </c>
      <c r="M370" s="2">
        <v>638.22</v>
      </c>
      <c r="N370" t="s">
        <v>64</v>
      </c>
      <c r="O370" t="s">
        <v>36</v>
      </c>
      <c r="P370" t="s">
        <v>55</v>
      </c>
    </row>
    <row r="371" spans="1:16" x14ac:dyDescent="0.3">
      <c r="A371" t="s">
        <v>565</v>
      </c>
      <c r="B371" s="1">
        <v>45867</v>
      </c>
      <c r="C371" t="s">
        <v>566</v>
      </c>
      <c r="D371" t="s">
        <v>68</v>
      </c>
      <c r="E371" t="s">
        <v>69</v>
      </c>
      <c r="F371" t="s">
        <v>41</v>
      </c>
      <c r="G371" t="s">
        <v>76</v>
      </c>
      <c r="H371" t="s">
        <v>122</v>
      </c>
      <c r="I371" t="s">
        <v>217</v>
      </c>
      <c r="J371" s="2">
        <v>6840</v>
      </c>
      <c r="K371">
        <v>4</v>
      </c>
      <c r="L371" s="2">
        <v>0.05</v>
      </c>
      <c r="M371" s="2">
        <v>622.95000000000005</v>
      </c>
      <c r="N371" t="s">
        <v>64</v>
      </c>
      <c r="O371" t="s">
        <v>86</v>
      </c>
      <c r="P371" t="s">
        <v>47</v>
      </c>
    </row>
    <row r="372" spans="1:16" x14ac:dyDescent="0.3">
      <c r="A372" t="s">
        <v>856</v>
      </c>
      <c r="B372" s="1">
        <v>46032</v>
      </c>
      <c r="C372" t="s">
        <v>523</v>
      </c>
      <c r="D372" t="s">
        <v>134</v>
      </c>
      <c r="E372" t="s">
        <v>75</v>
      </c>
      <c r="F372" t="s">
        <v>20</v>
      </c>
      <c r="G372" t="s">
        <v>61</v>
      </c>
      <c r="H372" t="s">
        <v>98</v>
      </c>
      <c r="I372" t="s">
        <v>156</v>
      </c>
      <c r="J372" s="2">
        <v>36100</v>
      </c>
      <c r="K372">
        <v>1</v>
      </c>
      <c r="L372" s="2">
        <v>0.05</v>
      </c>
      <c r="M372" s="2">
        <v>7875.64</v>
      </c>
      <c r="N372" t="s">
        <v>64</v>
      </c>
      <c r="O372" t="s">
        <v>71</v>
      </c>
      <c r="P372" t="s">
        <v>55</v>
      </c>
    </row>
    <row r="373" spans="1:16" x14ac:dyDescent="0.3">
      <c r="A373" t="s">
        <v>569</v>
      </c>
      <c r="B373" s="1">
        <v>45868</v>
      </c>
      <c r="C373" t="s">
        <v>433</v>
      </c>
      <c r="D373" t="s">
        <v>58</v>
      </c>
      <c r="E373" t="s">
        <v>59</v>
      </c>
      <c r="F373" t="s">
        <v>60</v>
      </c>
      <c r="G373" t="s">
        <v>61</v>
      </c>
      <c r="H373" t="s">
        <v>62</v>
      </c>
      <c r="I373" t="s">
        <v>70</v>
      </c>
      <c r="J373" s="2">
        <v>3060</v>
      </c>
      <c r="K373">
        <v>2</v>
      </c>
      <c r="L373" s="2">
        <v>0.15</v>
      </c>
      <c r="M373" s="2">
        <v>605.6</v>
      </c>
      <c r="N373" t="s">
        <v>114</v>
      </c>
      <c r="O373" t="s">
        <v>135</v>
      </c>
      <c r="P373" t="s">
        <v>47</v>
      </c>
    </row>
    <row r="374" spans="1:16" x14ac:dyDescent="0.3">
      <c r="A374" t="s">
        <v>815</v>
      </c>
      <c r="B374" s="1">
        <v>46008</v>
      </c>
      <c r="C374" t="s">
        <v>431</v>
      </c>
      <c r="D374" t="s">
        <v>50</v>
      </c>
      <c r="E374" t="s">
        <v>51</v>
      </c>
      <c r="F374" t="s">
        <v>52</v>
      </c>
      <c r="G374" t="s">
        <v>61</v>
      </c>
      <c r="H374" t="s">
        <v>98</v>
      </c>
      <c r="I374" t="s">
        <v>156</v>
      </c>
      <c r="J374" s="2">
        <v>129200</v>
      </c>
      <c r="K374">
        <v>4</v>
      </c>
      <c r="L374" s="2">
        <v>0.15</v>
      </c>
      <c r="M374" s="2">
        <v>14423.22</v>
      </c>
      <c r="N374" t="s">
        <v>24</v>
      </c>
      <c r="O374" t="s">
        <v>46</v>
      </c>
      <c r="P374" t="s">
        <v>55</v>
      </c>
    </row>
    <row r="375" spans="1:16" x14ac:dyDescent="0.3">
      <c r="A375" t="s">
        <v>952</v>
      </c>
      <c r="B375" s="1">
        <v>46090</v>
      </c>
      <c r="C375" t="s">
        <v>67</v>
      </c>
      <c r="D375" t="s">
        <v>29</v>
      </c>
      <c r="E375" t="s">
        <v>30</v>
      </c>
      <c r="F375" t="s">
        <v>31</v>
      </c>
      <c r="G375" t="s">
        <v>42</v>
      </c>
      <c r="H375" t="s">
        <v>53</v>
      </c>
      <c r="I375" t="s">
        <v>120</v>
      </c>
      <c r="J375" s="2">
        <v>25200</v>
      </c>
      <c r="K375">
        <v>6</v>
      </c>
      <c r="L375" s="2">
        <v>0</v>
      </c>
      <c r="M375" s="2">
        <v>2946.55</v>
      </c>
      <c r="N375" t="s">
        <v>114</v>
      </c>
      <c r="O375" t="s">
        <v>25</v>
      </c>
      <c r="P375" t="s">
        <v>47</v>
      </c>
    </row>
    <row r="376" spans="1:16" x14ac:dyDescent="0.3">
      <c r="A376" t="s">
        <v>250</v>
      </c>
      <c r="B376" s="1">
        <v>45727</v>
      </c>
      <c r="C376" t="s">
        <v>251</v>
      </c>
      <c r="D376" t="s">
        <v>39</v>
      </c>
      <c r="E376" t="s">
        <v>40</v>
      </c>
      <c r="F376" t="s">
        <v>41</v>
      </c>
      <c r="G376" t="s">
        <v>21</v>
      </c>
      <c r="H376" t="s">
        <v>22</v>
      </c>
      <c r="I376" t="s">
        <v>111</v>
      </c>
      <c r="J376" s="2">
        <v>1620</v>
      </c>
      <c r="K376">
        <v>6</v>
      </c>
      <c r="L376" s="2">
        <v>0.1</v>
      </c>
      <c r="M376" s="2">
        <v>259.39999999999998</v>
      </c>
      <c r="N376" t="s">
        <v>24</v>
      </c>
      <c r="O376" t="s">
        <v>46</v>
      </c>
      <c r="P376" t="s">
        <v>55</v>
      </c>
    </row>
    <row r="377" spans="1:16" x14ac:dyDescent="0.3">
      <c r="A377" t="s">
        <v>436</v>
      </c>
      <c r="B377" s="1">
        <v>45795</v>
      </c>
      <c r="C377" t="s">
        <v>437</v>
      </c>
      <c r="D377" t="s">
        <v>166</v>
      </c>
      <c r="E377" t="s">
        <v>75</v>
      </c>
      <c r="F377" t="s">
        <v>20</v>
      </c>
      <c r="G377" t="s">
        <v>61</v>
      </c>
      <c r="H377" t="s">
        <v>98</v>
      </c>
      <c r="I377" t="s">
        <v>156</v>
      </c>
      <c r="J377" s="2">
        <v>205200</v>
      </c>
      <c r="K377">
        <v>6</v>
      </c>
      <c r="L377" s="2">
        <v>0.1</v>
      </c>
      <c r="M377" s="2">
        <v>43262.2</v>
      </c>
      <c r="N377" t="s">
        <v>45</v>
      </c>
      <c r="O377" t="s">
        <v>105</v>
      </c>
      <c r="P377" t="s">
        <v>47</v>
      </c>
    </row>
    <row r="378" spans="1:16" x14ac:dyDescent="0.3">
      <c r="A378" t="s">
        <v>1094</v>
      </c>
      <c r="B378" s="1">
        <v>46171</v>
      </c>
      <c r="C378" t="s">
        <v>137</v>
      </c>
      <c r="D378" t="s">
        <v>39</v>
      </c>
      <c r="E378" t="s">
        <v>40</v>
      </c>
      <c r="F378" t="s">
        <v>41</v>
      </c>
      <c r="G378" t="s">
        <v>61</v>
      </c>
      <c r="H378" t="s">
        <v>62</v>
      </c>
      <c r="I378" t="s">
        <v>63</v>
      </c>
      <c r="J378" s="2">
        <v>2160</v>
      </c>
      <c r="K378">
        <v>3</v>
      </c>
      <c r="L378" s="2">
        <v>0.2</v>
      </c>
      <c r="M378" s="2">
        <v>241.04</v>
      </c>
      <c r="N378" t="s">
        <v>24</v>
      </c>
      <c r="O378" t="s">
        <v>135</v>
      </c>
      <c r="P378" t="s">
        <v>47</v>
      </c>
    </row>
    <row r="379" spans="1:16" x14ac:dyDescent="0.3">
      <c r="A379" t="s">
        <v>959</v>
      </c>
      <c r="B379" s="1">
        <v>46095</v>
      </c>
      <c r="C379" t="s">
        <v>292</v>
      </c>
      <c r="D379" t="s">
        <v>50</v>
      </c>
      <c r="E379" t="s">
        <v>51</v>
      </c>
      <c r="F379" t="s">
        <v>52</v>
      </c>
      <c r="G379" t="s">
        <v>21</v>
      </c>
      <c r="H379" t="s">
        <v>175</v>
      </c>
      <c r="I379" t="s">
        <v>176</v>
      </c>
      <c r="J379" s="2">
        <v>1105</v>
      </c>
      <c r="K379">
        <v>2</v>
      </c>
      <c r="L379" s="2">
        <v>0.15</v>
      </c>
      <c r="M379" s="2">
        <v>236.15</v>
      </c>
      <c r="N379" t="s">
        <v>35</v>
      </c>
      <c r="O379" t="s">
        <v>105</v>
      </c>
      <c r="P379" t="s">
        <v>55</v>
      </c>
    </row>
    <row r="380" spans="1:16" x14ac:dyDescent="0.3">
      <c r="A380" t="s">
        <v>374</v>
      </c>
      <c r="B380" s="1">
        <v>45768</v>
      </c>
      <c r="C380" t="s">
        <v>375</v>
      </c>
      <c r="D380" t="s">
        <v>166</v>
      </c>
      <c r="E380" t="s">
        <v>75</v>
      </c>
      <c r="F380" t="s">
        <v>20</v>
      </c>
      <c r="G380" t="s">
        <v>61</v>
      </c>
      <c r="H380" t="s">
        <v>98</v>
      </c>
      <c r="I380" t="s">
        <v>99</v>
      </c>
      <c r="J380" s="2">
        <v>27000</v>
      </c>
      <c r="K380">
        <v>1</v>
      </c>
      <c r="L380" s="2">
        <v>0.1</v>
      </c>
      <c r="M380" s="2">
        <v>4436.66</v>
      </c>
      <c r="N380" t="s">
        <v>64</v>
      </c>
      <c r="O380" t="s">
        <v>108</v>
      </c>
      <c r="P380" t="s">
        <v>47</v>
      </c>
    </row>
    <row r="381" spans="1:16" x14ac:dyDescent="0.3">
      <c r="A381" t="s">
        <v>1339</v>
      </c>
      <c r="B381" s="1">
        <v>46344</v>
      </c>
      <c r="C381" t="s">
        <v>1340</v>
      </c>
      <c r="D381" t="s">
        <v>58</v>
      </c>
      <c r="E381" t="s">
        <v>59</v>
      </c>
      <c r="F381" t="s">
        <v>60</v>
      </c>
      <c r="G381" t="s">
        <v>42</v>
      </c>
      <c r="H381" t="s">
        <v>53</v>
      </c>
      <c r="I381" t="s">
        <v>120</v>
      </c>
      <c r="J381" s="2">
        <v>22680</v>
      </c>
      <c r="K381">
        <v>6</v>
      </c>
      <c r="L381" s="2">
        <v>0.1</v>
      </c>
      <c r="M381" s="2">
        <v>3210.09</v>
      </c>
      <c r="N381" t="s">
        <v>35</v>
      </c>
      <c r="O381" t="s">
        <v>25</v>
      </c>
      <c r="P381" t="s">
        <v>47</v>
      </c>
    </row>
    <row r="382" spans="1:16" x14ac:dyDescent="0.3">
      <c r="A382" t="s">
        <v>1294</v>
      </c>
      <c r="B382" s="1">
        <v>46312</v>
      </c>
      <c r="C382" t="s">
        <v>333</v>
      </c>
      <c r="D382" t="s">
        <v>119</v>
      </c>
      <c r="E382" t="s">
        <v>75</v>
      </c>
      <c r="F382" t="s">
        <v>20</v>
      </c>
      <c r="G382" t="s">
        <v>32</v>
      </c>
      <c r="H382" t="s">
        <v>84</v>
      </c>
      <c r="I382" t="s">
        <v>140</v>
      </c>
      <c r="J382" s="2">
        <v>40500</v>
      </c>
      <c r="K382">
        <v>6</v>
      </c>
      <c r="L382" s="2">
        <v>0.1</v>
      </c>
      <c r="M382" s="2">
        <v>4460.6099999999997</v>
      </c>
      <c r="N382" t="s">
        <v>114</v>
      </c>
      <c r="O382" t="s">
        <v>86</v>
      </c>
      <c r="P382" t="s">
        <v>55</v>
      </c>
    </row>
    <row r="383" spans="1:16" x14ac:dyDescent="0.3">
      <c r="A383" t="s">
        <v>66</v>
      </c>
      <c r="B383" s="1">
        <v>45662</v>
      </c>
      <c r="C383" t="s">
        <v>67</v>
      </c>
      <c r="D383" t="s">
        <v>68</v>
      </c>
      <c r="E383" t="s">
        <v>69</v>
      </c>
      <c r="F383" t="s">
        <v>41</v>
      </c>
      <c r="G383" t="s">
        <v>61</v>
      </c>
      <c r="H383" t="s">
        <v>62</v>
      </c>
      <c r="I383" t="s">
        <v>70</v>
      </c>
      <c r="J383" s="2">
        <v>3240</v>
      </c>
      <c r="K383">
        <v>2</v>
      </c>
      <c r="L383" s="2">
        <v>0.1</v>
      </c>
      <c r="M383" s="2">
        <v>586.4</v>
      </c>
      <c r="N383" t="s">
        <v>45</v>
      </c>
      <c r="O383" t="s">
        <v>71</v>
      </c>
      <c r="P383" t="s">
        <v>47</v>
      </c>
    </row>
    <row r="384" spans="1:16" x14ac:dyDescent="0.3">
      <c r="A384" t="s">
        <v>132</v>
      </c>
      <c r="B384" s="1">
        <v>45676</v>
      </c>
      <c r="C384" t="s">
        <v>133</v>
      </c>
      <c r="D384" t="s">
        <v>134</v>
      </c>
      <c r="E384" t="s">
        <v>75</v>
      </c>
      <c r="F384" t="s">
        <v>20</v>
      </c>
      <c r="G384" t="s">
        <v>21</v>
      </c>
      <c r="H384" t="s">
        <v>22</v>
      </c>
      <c r="I384" t="s">
        <v>111</v>
      </c>
      <c r="J384" s="2">
        <v>1800</v>
      </c>
      <c r="K384">
        <v>6</v>
      </c>
      <c r="L384" s="2">
        <v>0</v>
      </c>
      <c r="M384" s="2">
        <v>294.36</v>
      </c>
      <c r="N384" t="s">
        <v>24</v>
      </c>
      <c r="O384" t="s">
        <v>135</v>
      </c>
      <c r="P384" t="s">
        <v>26</v>
      </c>
    </row>
    <row r="385" spans="1:16" x14ac:dyDescent="0.3">
      <c r="A385" t="s">
        <v>758</v>
      </c>
      <c r="B385" s="1">
        <v>45974</v>
      </c>
      <c r="C385" t="s">
        <v>203</v>
      </c>
      <c r="D385" t="s">
        <v>74</v>
      </c>
      <c r="E385" t="s">
        <v>75</v>
      </c>
      <c r="F385" t="s">
        <v>20</v>
      </c>
      <c r="G385" t="s">
        <v>32</v>
      </c>
      <c r="H385" t="s">
        <v>84</v>
      </c>
      <c r="I385" t="s">
        <v>85</v>
      </c>
      <c r="J385" s="2">
        <v>35625</v>
      </c>
      <c r="K385">
        <v>3</v>
      </c>
      <c r="L385" s="2">
        <v>0.05</v>
      </c>
      <c r="M385" s="2">
        <v>8555.5400000000009</v>
      </c>
      <c r="N385" t="s">
        <v>45</v>
      </c>
      <c r="O385" t="s">
        <v>71</v>
      </c>
      <c r="P385" t="s">
        <v>26</v>
      </c>
    </row>
    <row r="386" spans="1:16" x14ac:dyDescent="0.3">
      <c r="A386" t="s">
        <v>525</v>
      </c>
      <c r="B386" s="1">
        <v>45844</v>
      </c>
      <c r="C386" t="s">
        <v>462</v>
      </c>
      <c r="D386" t="s">
        <v>74</v>
      </c>
      <c r="E386" t="s">
        <v>75</v>
      </c>
      <c r="F386" t="s">
        <v>20</v>
      </c>
      <c r="G386" t="s">
        <v>32</v>
      </c>
      <c r="H386" t="s">
        <v>84</v>
      </c>
      <c r="I386" t="s">
        <v>140</v>
      </c>
      <c r="J386" s="2">
        <v>40500</v>
      </c>
      <c r="K386">
        <v>6</v>
      </c>
      <c r="L386" s="2">
        <v>0.1</v>
      </c>
      <c r="M386" s="2">
        <v>8340.2000000000007</v>
      </c>
      <c r="N386" t="s">
        <v>24</v>
      </c>
      <c r="O386" t="s">
        <v>108</v>
      </c>
      <c r="P386" t="s">
        <v>26</v>
      </c>
    </row>
    <row r="387" spans="1:16" x14ac:dyDescent="0.3">
      <c r="A387" t="s">
        <v>1195</v>
      </c>
      <c r="B387" s="1">
        <v>46240</v>
      </c>
      <c r="C387" t="s">
        <v>1196</v>
      </c>
      <c r="D387" t="s">
        <v>166</v>
      </c>
      <c r="E387" t="s">
        <v>75</v>
      </c>
      <c r="F387" t="s">
        <v>20</v>
      </c>
      <c r="G387" t="s">
        <v>21</v>
      </c>
      <c r="H387" t="s">
        <v>22</v>
      </c>
      <c r="I387" t="s">
        <v>111</v>
      </c>
      <c r="J387" s="2">
        <v>855</v>
      </c>
      <c r="K387">
        <v>3</v>
      </c>
      <c r="L387" s="2">
        <v>0.05</v>
      </c>
      <c r="M387" s="2">
        <v>116.22</v>
      </c>
      <c r="N387" t="s">
        <v>35</v>
      </c>
      <c r="O387" t="s">
        <v>36</v>
      </c>
      <c r="P387" t="s">
        <v>55</v>
      </c>
    </row>
    <row r="388" spans="1:16" x14ac:dyDescent="0.3">
      <c r="A388" t="s">
        <v>496</v>
      </c>
      <c r="B388" s="1">
        <v>45828</v>
      </c>
      <c r="C388" t="s">
        <v>351</v>
      </c>
      <c r="D388" t="s">
        <v>173</v>
      </c>
      <c r="E388" t="s">
        <v>174</v>
      </c>
      <c r="F388" t="s">
        <v>60</v>
      </c>
      <c r="G388" t="s">
        <v>42</v>
      </c>
      <c r="H388" t="s">
        <v>53</v>
      </c>
      <c r="I388" t="s">
        <v>54</v>
      </c>
      <c r="J388" s="2">
        <v>3240</v>
      </c>
      <c r="K388">
        <v>2</v>
      </c>
      <c r="L388" s="2">
        <v>0.1</v>
      </c>
      <c r="M388" s="2">
        <v>496.94</v>
      </c>
      <c r="N388" t="s">
        <v>114</v>
      </c>
      <c r="O388" t="s">
        <v>79</v>
      </c>
      <c r="P388" t="s">
        <v>47</v>
      </c>
    </row>
    <row r="389" spans="1:16" x14ac:dyDescent="0.3">
      <c r="A389" t="s">
        <v>939</v>
      </c>
      <c r="B389" s="1">
        <v>46081</v>
      </c>
      <c r="C389" t="s">
        <v>762</v>
      </c>
      <c r="D389" t="s">
        <v>39</v>
      </c>
      <c r="E389" t="s">
        <v>40</v>
      </c>
      <c r="F389" t="s">
        <v>41</v>
      </c>
      <c r="G389" t="s">
        <v>32</v>
      </c>
      <c r="H389" t="s">
        <v>84</v>
      </c>
      <c r="I389" t="s">
        <v>85</v>
      </c>
      <c r="J389" s="2">
        <v>53125</v>
      </c>
      <c r="K389">
        <v>5</v>
      </c>
      <c r="L389" s="2">
        <v>0.15</v>
      </c>
      <c r="M389" s="2">
        <v>5847.5</v>
      </c>
      <c r="N389" t="s">
        <v>35</v>
      </c>
      <c r="O389" t="s">
        <v>65</v>
      </c>
      <c r="P389" t="s">
        <v>47</v>
      </c>
    </row>
    <row r="390" spans="1:16" x14ac:dyDescent="0.3">
      <c r="A390" t="s">
        <v>982</v>
      </c>
      <c r="B390" s="1">
        <v>46109</v>
      </c>
      <c r="C390" t="s">
        <v>642</v>
      </c>
      <c r="D390" t="s">
        <v>29</v>
      </c>
      <c r="E390" t="s">
        <v>30</v>
      </c>
      <c r="F390" t="s">
        <v>31</v>
      </c>
      <c r="G390" t="s">
        <v>76</v>
      </c>
      <c r="H390" t="s">
        <v>77</v>
      </c>
      <c r="I390" t="s">
        <v>78</v>
      </c>
      <c r="J390" s="2">
        <v>6120</v>
      </c>
      <c r="K390">
        <v>3</v>
      </c>
      <c r="L390" s="2">
        <v>0.15</v>
      </c>
      <c r="M390" s="2">
        <v>1252.27</v>
      </c>
      <c r="N390" t="s">
        <v>45</v>
      </c>
      <c r="O390" t="s">
        <v>105</v>
      </c>
      <c r="P390" t="s">
        <v>47</v>
      </c>
    </row>
    <row r="391" spans="1:16" x14ac:dyDescent="0.3">
      <c r="A391" t="s">
        <v>1096</v>
      </c>
      <c r="B391" s="1">
        <v>46172</v>
      </c>
      <c r="C391" t="s">
        <v>384</v>
      </c>
      <c r="D391" t="s">
        <v>18</v>
      </c>
      <c r="E391" t="s">
        <v>19</v>
      </c>
      <c r="F391" t="s">
        <v>20</v>
      </c>
      <c r="G391" t="s">
        <v>42</v>
      </c>
      <c r="H391" t="s">
        <v>53</v>
      </c>
      <c r="I391" t="s">
        <v>54</v>
      </c>
      <c r="J391" s="2">
        <v>1710</v>
      </c>
      <c r="K391">
        <v>1</v>
      </c>
      <c r="L391" s="2">
        <v>0.05</v>
      </c>
      <c r="M391" s="2">
        <v>398.14</v>
      </c>
      <c r="N391" t="s">
        <v>24</v>
      </c>
      <c r="O391" t="s">
        <v>46</v>
      </c>
      <c r="P391" t="s">
        <v>47</v>
      </c>
    </row>
    <row r="392" spans="1:16" x14ac:dyDescent="0.3">
      <c r="A392" t="s">
        <v>245</v>
      </c>
      <c r="B392" s="1">
        <v>45726</v>
      </c>
      <c r="C392" t="s">
        <v>233</v>
      </c>
      <c r="D392" t="s">
        <v>119</v>
      </c>
      <c r="E392" t="s">
        <v>75</v>
      </c>
      <c r="F392" t="s">
        <v>20</v>
      </c>
      <c r="G392" t="s">
        <v>32</v>
      </c>
      <c r="H392" t="s">
        <v>33</v>
      </c>
      <c r="I392" t="s">
        <v>34</v>
      </c>
      <c r="J392" s="2">
        <v>6200</v>
      </c>
      <c r="K392">
        <v>1</v>
      </c>
      <c r="L392" s="2">
        <v>0</v>
      </c>
      <c r="M392" s="2">
        <v>577.46</v>
      </c>
      <c r="N392" t="s">
        <v>64</v>
      </c>
      <c r="O392" t="s">
        <v>71</v>
      </c>
      <c r="P392" t="s">
        <v>26</v>
      </c>
    </row>
    <row r="393" spans="1:16" x14ac:dyDescent="0.3">
      <c r="A393" t="s">
        <v>857</v>
      </c>
      <c r="B393" s="1">
        <v>46032</v>
      </c>
      <c r="C393" t="s">
        <v>858</v>
      </c>
      <c r="D393" t="s">
        <v>18</v>
      </c>
      <c r="E393" t="s">
        <v>19</v>
      </c>
      <c r="F393" t="s">
        <v>20</v>
      </c>
      <c r="G393" t="s">
        <v>32</v>
      </c>
      <c r="H393" t="s">
        <v>84</v>
      </c>
      <c r="I393" t="s">
        <v>140</v>
      </c>
      <c r="J393" s="2">
        <v>12750</v>
      </c>
      <c r="K393">
        <v>2</v>
      </c>
      <c r="L393" s="2">
        <v>0.15</v>
      </c>
      <c r="M393" s="2">
        <v>1063.72</v>
      </c>
      <c r="N393" t="s">
        <v>45</v>
      </c>
      <c r="O393" t="s">
        <v>65</v>
      </c>
      <c r="P393" t="s">
        <v>47</v>
      </c>
    </row>
    <row r="394" spans="1:16" x14ac:dyDescent="0.3">
      <c r="A394" t="s">
        <v>974</v>
      </c>
      <c r="B394" s="1">
        <v>46105</v>
      </c>
      <c r="C394" t="s">
        <v>347</v>
      </c>
      <c r="D394" t="s">
        <v>58</v>
      </c>
      <c r="E394" t="s">
        <v>59</v>
      </c>
      <c r="F394" t="s">
        <v>60</v>
      </c>
      <c r="G394" t="s">
        <v>61</v>
      </c>
      <c r="H394" t="s">
        <v>98</v>
      </c>
      <c r="I394" t="s">
        <v>156</v>
      </c>
      <c r="J394" s="2">
        <v>161500</v>
      </c>
      <c r="K394">
        <v>5</v>
      </c>
      <c r="L394" s="2">
        <v>0.15</v>
      </c>
      <c r="M394" s="2">
        <v>42863.11</v>
      </c>
      <c r="N394" t="s">
        <v>64</v>
      </c>
      <c r="O394" t="s">
        <v>108</v>
      </c>
      <c r="P394" t="s">
        <v>47</v>
      </c>
    </row>
    <row r="395" spans="1:16" x14ac:dyDescent="0.3">
      <c r="A395" t="s">
        <v>665</v>
      </c>
      <c r="B395" s="1">
        <v>45919</v>
      </c>
      <c r="C395" t="s">
        <v>666</v>
      </c>
      <c r="D395" t="s">
        <v>82</v>
      </c>
      <c r="E395" t="s">
        <v>83</v>
      </c>
      <c r="F395" t="s">
        <v>52</v>
      </c>
      <c r="G395" t="s">
        <v>61</v>
      </c>
      <c r="H395" t="s">
        <v>128</v>
      </c>
      <c r="I395" t="s">
        <v>129</v>
      </c>
      <c r="J395" s="2">
        <v>148200</v>
      </c>
      <c r="K395">
        <v>3</v>
      </c>
      <c r="L395" s="2">
        <v>0.05</v>
      </c>
      <c r="M395" s="2">
        <v>11902.57</v>
      </c>
      <c r="N395" t="s">
        <v>35</v>
      </c>
      <c r="O395" t="s">
        <v>65</v>
      </c>
      <c r="P395" t="s">
        <v>55</v>
      </c>
    </row>
    <row r="396" spans="1:16" x14ac:dyDescent="0.3">
      <c r="A396" t="s">
        <v>1184</v>
      </c>
      <c r="B396" s="1">
        <v>46232</v>
      </c>
      <c r="C396" t="s">
        <v>978</v>
      </c>
      <c r="D396" t="s">
        <v>82</v>
      </c>
      <c r="E396" t="s">
        <v>83</v>
      </c>
      <c r="F396" t="s">
        <v>52</v>
      </c>
      <c r="G396" t="s">
        <v>21</v>
      </c>
      <c r="H396" t="s">
        <v>179</v>
      </c>
      <c r="I396" t="s">
        <v>180</v>
      </c>
      <c r="J396" s="2">
        <v>6480</v>
      </c>
      <c r="K396">
        <v>3</v>
      </c>
      <c r="L396" s="2">
        <v>0.1</v>
      </c>
      <c r="M396" s="2">
        <v>779.26</v>
      </c>
      <c r="N396" t="s">
        <v>24</v>
      </c>
      <c r="O396" t="s">
        <v>25</v>
      </c>
      <c r="P396" t="s">
        <v>55</v>
      </c>
    </row>
    <row r="397" spans="1:16" x14ac:dyDescent="0.3">
      <c r="A397" t="s">
        <v>1254</v>
      </c>
      <c r="B397" s="1">
        <v>46287</v>
      </c>
      <c r="C397" t="s">
        <v>116</v>
      </c>
      <c r="D397" t="s">
        <v>39</v>
      </c>
      <c r="E397" t="s">
        <v>40</v>
      </c>
      <c r="F397" t="s">
        <v>41</v>
      </c>
      <c r="G397" t="s">
        <v>32</v>
      </c>
      <c r="H397" t="s">
        <v>84</v>
      </c>
      <c r="I397" t="s">
        <v>85</v>
      </c>
      <c r="J397" s="2">
        <v>62500</v>
      </c>
      <c r="K397">
        <v>5</v>
      </c>
      <c r="L397" s="2">
        <v>0</v>
      </c>
      <c r="M397" s="2">
        <v>6123.95</v>
      </c>
      <c r="N397" t="s">
        <v>114</v>
      </c>
      <c r="O397" t="s">
        <v>46</v>
      </c>
      <c r="P397" t="s">
        <v>47</v>
      </c>
    </row>
    <row r="398" spans="1:16" x14ac:dyDescent="0.3">
      <c r="A398" t="s">
        <v>949</v>
      </c>
      <c r="B398" s="1">
        <v>46088</v>
      </c>
      <c r="C398" t="s">
        <v>914</v>
      </c>
      <c r="D398" t="s">
        <v>58</v>
      </c>
      <c r="E398" t="s">
        <v>59</v>
      </c>
      <c r="F398" t="s">
        <v>60</v>
      </c>
      <c r="G398" t="s">
        <v>21</v>
      </c>
      <c r="H398" t="s">
        <v>175</v>
      </c>
      <c r="I398" t="s">
        <v>176</v>
      </c>
      <c r="J398" s="2">
        <v>2210</v>
      </c>
      <c r="K398">
        <v>4</v>
      </c>
      <c r="L398" s="2">
        <v>0.15</v>
      </c>
      <c r="M398" s="2">
        <v>465.74</v>
      </c>
      <c r="N398" t="s">
        <v>45</v>
      </c>
      <c r="O398" t="s">
        <v>108</v>
      </c>
      <c r="P398" t="s">
        <v>26</v>
      </c>
    </row>
    <row r="399" spans="1:16" x14ac:dyDescent="0.3">
      <c r="A399" t="s">
        <v>600</v>
      </c>
      <c r="B399" s="1">
        <v>45881</v>
      </c>
      <c r="C399" t="s">
        <v>316</v>
      </c>
      <c r="D399" t="s">
        <v>29</v>
      </c>
      <c r="E399" t="s">
        <v>30</v>
      </c>
      <c r="F399" t="s">
        <v>31</v>
      </c>
      <c r="G399" t="s">
        <v>32</v>
      </c>
      <c r="H399" t="s">
        <v>33</v>
      </c>
      <c r="I399" t="s">
        <v>34</v>
      </c>
      <c r="J399" s="2">
        <v>22320</v>
      </c>
      <c r="K399">
        <v>4</v>
      </c>
      <c r="L399" s="2">
        <v>0.1</v>
      </c>
      <c r="M399" s="2">
        <v>4872.8</v>
      </c>
      <c r="N399" t="s">
        <v>114</v>
      </c>
      <c r="O399" t="s">
        <v>79</v>
      </c>
      <c r="P399" t="s">
        <v>47</v>
      </c>
    </row>
    <row r="400" spans="1:16" x14ac:dyDescent="0.3">
      <c r="A400" t="s">
        <v>1348</v>
      </c>
      <c r="B400" s="1">
        <v>46349</v>
      </c>
      <c r="C400" t="s">
        <v>349</v>
      </c>
      <c r="D400" t="s">
        <v>39</v>
      </c>
      <c r="E400" t="s">
        <v>40</v>
      </c>
      <c r="F400" t="s">
        <v>41</v>
      </c>
      <c r="G400" t="s">
        <v>32</v>
      </c>
      <c r="H400" t="s">
        <v>92</v>
      </c>
      <c r="I400" t="s">
        <v>93</v>
      </c>
      <c r="J400" s="2">
        <v>54625</v>
      </c>
      <c r="K400">
        <v>5</v>
      </c>
      <c r="L400" s="2">
        <v>0.05</v>
      </c>
      <c r="M400" s="2">
        <v>14802.42</v>
      </c>
      <c r="N400" t="s">
        <v>24</v>
      </c>
      <c r="O400" t="s">
        <v>36</v>
      </c>
      <c r="P400" t="s">
        <v>55</v>
      </c>
    </row>
    <row r="401" spans="1:16" x14ac:dyDescent="0.3">
      <c r="A401" t="s">
        <v>882</v>
      </c>
      <c r="B401" s="1">
        <v>46045</v>
      </c>
      <c r="C401" t="s">
        <v>841</v>
      </c>
      <c r="D401" t="s">
        <v>74</v>
      </c>
      <c r="E401" t="s">
        <v>75</v>
      </c>
      <c r="F401" t="s">
        <v>20</v>
      </c>
      <c r="G401" t="s">
        <v>32</v>
      </c>
      <c r="H401" t="s">
        <v>92</v>
      </c>
      <c r="I401" t="s">
        <v>93</v>
      </c>
      <c r="J401" s="2">
        <v>41400</v>
      </c>
      <c r="K401">
        <v>4</v>
      </c>
      <c r="L401" s="2">
        <v>0.1</v>
      </c>
      <c r="M401" s="2">
        <v>9666.16</v>
      </c>
      <c r="N401" t="s">
        <v>114</v>
      </c>
      <c r="O401" t="s">
        <v>65</v>
      </c>
      <c r="P401" t="s">
        <v>55</v>
      </c>
    </row>
    <row r="402" spans="1:16" x14ac:dyDescent="0.3">
      <c r="A402" t="s">
        <v>1285</v>
      </c>
      <c r="B402" s="1">
        <v>46306</v>
      </c>
      <c r="C402" t="s">
        <v>482</v>
      </c>
      <c r="D402" t="s">
        <v>173</v>
      </c>
      <c r="E402" t="s">
        <v>174</v>
      </c>
      <c r="F402" t="s">
        <v>60</v>
      </c>
      <c r="G402" t="s">
        <v>21</v>
      </c>
      <c r="H402" t="s">
        <v>22</v>
      </c>
      <c r="I402" t="s">
        <v>111</v>
      </c>
      <c r="J402" s="2">
        <v>600</v>
      </c>
      <c r="K402">
        <v>2</v>
      </c>
      <c r="L402" s="2">
        <v>0</v>
      </c>
      <c r="M402" s="2">
        <v>166.77</v>
      </c>
      <c r="N402" t="s">
        <v>24</v>
      </c>
      <c r="O402" t="s">
        <v>135</v>
      </c>
      <c r="P402" t="s">
        <v>47</v>
      </c>
    </row>
    <row r="403" spans="1:16" x14ac:dyDescent="0.3">
      <c r="A403" t="s">
        <v>722</v>
      </c>
      <c r="B403" s="1">
        <v>45945</v>
      </c>
      <c r="C403" t="s">
        <v>723</v>
      </c>
      <c r="D403" t="s">
        <v>173</v>
      </c>
      <c r="E403" t="s">
        <v>174</v>
      </c>
      <c r="F403" t="s">
        <v>60</v>
      </c>
      <c r="G403" t="s">
        <v>32</v>
      </c>
      <c r="H403" t="s">
        <v>33</v>
      </c>
      <c r="I403" t="s">
        <v>34</v>
      </c>
      <c r="J403" s="2">
        <v>5580</v>
      </c>
      <c r="K403">
        <v>1</v>
      </c>
      <c r="L403" s="2">
        <v>0.1</v>
      </c>
      <c r="M403" s="2">
        <v>1075.43</v>
      </c>
      <c r="N403" t="s">
        <v>24</v>
      </c>
      <c r="O403" t="s">
        <v>108</v>
      </c>
      <c r="P403" t="s">
        <v>47</v>
      </c>
    </row>
    <row r="404" spans="1:16" x14ac:dyDescent="0.3">
      <c r="A404" t="s">
        <v>802</v>
      </c>
      <c r="B404" s="1">
        <v>45998</v>
      </c>
      <c r="C404" t="s">
        <v>444</v>
      </c>
      <c r="D404" t="s">
        <v>166</v>
      </c>
      <c r="E404" t="s">
        <v>75</v>
      </c>
      <c r="F404" t="s">
        <v>20</v>
      </c>
      <c r="G404" t="s">
        <v>32</v>
      </c>
      <c r="H404" t="s">
        <v>84</v>
      </c>
      <c r="I404" t="s">
        <v>140</v>
      </c>
      <c r="J404" s="2">
        <v>45000</v>
      </c>
      <c r="K404">
        <v>6</v>
      </c>
      <c r="L404" s="2">
        <v>0</v>
      </c>
      <c r="M404" s="2">
        <v>7466.61</v>
      </c>
      <c r="N404" t="s">
        <v>35</v>
      </c>
      <c r="O404" t="s">
        <v>71</v>
      </c>
      <c r="P404" t="s">
        <v>55</v>
      </c>
    </row>
    <row r="405" spans="1:16" x14ac:dyDescent="0.3">
      <c r="A405" t="s">
        <v>1238</v>
      </c>
      <c r="B405" s="1">
        <v>46275</v>
      </c>
      <c r="C405" t="s">
        <v>997</v>
      </c>
      <c r="D405" t="s">
        <v>119</v>
      </c>
      <c r="E405" t="s">
        <v>75</v>
      </c>
      <c r="F405" t="s">
        <v>20</v>
      </c>
      <c r="G405" t="s">
        <v>76</v>
      </c>
      <c r="H405" t="s">
        <v>122</v>
      </c>
      <c r="I405" t="s">
        <v>123</v>
      </c>
      <c r="J405" s="2">
        <v>1980</v>
      </c>
      <c r="K405">
        <v>1</v>
      </c>
      <c r="L405" s="2">
        <v>0.1</v>
      </c>
      <c r="M405" s="2">
        <v>442.07</v>
      </c>
      <c r="N405" t="s">
        <v>45</v>
      </c>
      <c r="O405" t="s">
        <v>108</v>
      </c>
      <c r="P405" t="s">
        <v>55</v>
      </c>
    </row>
    <row r="406" spans="1:16" x14ac:dyDescent="0.3">
      <c r="A406" t="s">
        <v>519</v>
      </c>
      <c r="B406" s="1">
        <v>45839</v>
      </c>
      <c r="C406" t="s">
        <v>225</v>
      </c>
      <c r="D406" t="s">
        <v>18</v>
      </c>
      <c r="E406" t="s">
        <v>19</v>
      </c>
      <c r="F406" t="s">
        <v>20</v>
      </c>
      <c r="G406" t="s">
        <v>61</v>
      </c>
      <c r="H406" t="s">
        <v>98</v>
      </c>
      <c r="I406" t="s">
        <v>156</v>
      </c>
      <c r="J406" s="2">
        <v>190000</v>
      </c>
      <c r="K406">
        <v>5</v>
      </c>
      <c r="L406" s="2">
        <v>0</v>
      </c>
      <c r="M406" s="2">
        <v>20967.47</v>
      </c>
      <c r="N406" t="s">
        <v>35</v>
      </c>
      <c r="O406" t="s">
        <v>79</v>
      </c>
      <c r="P406" t="s">
        <v>47</v>
      </c>
    </row>
    <row r="407" spans="1:16" x14ac:dyDescent="0.3">
      <c r="A407" t="s">
        <v>830</v>
      </c>
      <c r="B407" s="1">
        <v>46018</v>
      </c>
      <c r="C407" t="s">
        <v>482</v>
      </c>
      <c r="D407" t="s">
        <v>134</v>
      </c>
      <c r="E407" t="s">
        <v>75</v>
      </c>
      <c r="F407" t="s">
        <v>20</v>
      </c>
      <c r="G407" t="s">
        <v>32</v>
      </c>
      <c r="H407" t="s">
        <v>84</v>
      </c>
      <c r="I407" t="s">
        <v>140</v>
      </c>
      <c r="J407" s="2">
        <v>33750</v>
      </c>
      <c r="K407">
        <v>5</v>
      </c>
      <c r="L407" s="2">
        <v>0.1</v>
      </c>
      <c r="M407" s="2">
        <v>8787.6299999999992</v>
      </c>
      <c r="N407" t="s">
        <v>114</v>
      </c>
      <c r="O407" t="s">
        <v>79</v>
      </c>
      <c r="P407" t="s">
        <v>26</v>
      </c>
    </row>
    <row r="408" spans="1:16" x14ac:dyDescent="0.3">
      <c r="A408" t="s">
        <v>1219</v>
      </c>
      <c r="B408" s="1">
        <v>46258</v>
      </c>
      <c r="C408" t="s">
        <v>347</v>
      </c>
      <c r="D408" t="s">
        <v>82</v>
      </c>
      <c r="E408" t="s">
        <v>83</v>
      </c>
      <c r="F408" t="s">
        <v>52</v>
      </c>
      <c r="G408" t="s">
        <v>61</v>
      </c>
      <c r="H408" t="s">
        <v>128</v>
      </c>
      <c r="I408" t="s">
        <v>195</v>
      </c>
      <c r="J408" s="2">
        <v>174000</v>
      </c>
      <c r="K408">
        <v>3</v>
      </c>
      <c r="L408" s="2">
        <v>0</v>
      </c>
      <c r="M408" s="2">
        <v>48612.44</v>
      </c>
      <c r="N408" t="s">
        <v>64</v>
      </c>
      <c r="O408" t="s">
        <v>108</v>
      </c>
      <c r="P408" t="s">
        <v>26</v>
      </c>
    </row>
    <row r="409" spans="1:16" x14ac:dyDescent="0.3">
      <c r="A409" t="s">
        <v>1328</v>
      </c>
      <c r="B409" s="1">
        <v>46333</v>
      </c>
      <c r="C409" t="s">
        <v>372</v>
      </c>
      <c r="D409" t="s">
        <v>58</v>
      </c>
      <c r="E409" t="s">
        <v>59</v>
      </c>
      <c r="F409" t="s">
        <v>60</v>
      </c>
      <c r="G409" t="s">
        <v>61</v>
      </c>
      <c r="H409" t="s">
        <v>128</v>
      </c>
      <c r="I409" t="s">
        <v>195</v>
      </c>
      <c r="J409" s="2">
        <v>208800</v>
      </c>
      <c r="K409">
        <v>4</v>
      </c>
      <c r="L409" s="2">
        <v>0.1</v>
      </c>
      <c r="M409" s="2">
        <v>46721.64</v>
      </c>
      <c r="N409" t="s">
        <v>64</v>
      </c>
      <c r="O409" t="s">
        <v>71</v>
      </c>
      <c r="P409" t="s">
        <v>26</v>
      </c>
    </row>
    <row r="410" spans="1:16" x14ac:dyDescent="0.3">
      <c r="A410" t="s">
        <v>1301</v>
      </c>
      <c r="B410" s="1">
        <v>46315</v>
      </c>
      <c r="C410" t="s">
        <v>265</v>
      </c>
      <c r="D410" t="s">
        <v>96</v>
      </c>
      <c r="E410" t="s">
        <v>97</v>
      </c>
      <c r="F410" t="s">
        <v>20</v>
      </c>
      <c r="G410" t="s">
        <v>76</v>
      </c>
      <c r="H410" t="s">
        <v>122</v>
      </c>
      <c r="I410" t="s">
        <v>123</v>
      </c>
      <c r="J410" s="2">
        <v>7920</v>
      </c>
      <c r="K410">
        <v>4</v>
      </c>
      <c r="L410" s="2">
        <v>0.1</v>
      </c>
      <c r="M410" s="2">
        <v>1380.95</v>
      </c>
      <c r="N410" t="s">
        <v>35</v>
      </c>
      <c r="O410" t="s">
        <v>79</v>
      </c>
      <c r="P410" t="s">
        <v>47</v>
      </c>
    </row>
    <row r="411" spans="1:16" x14ac:dyDescent="0.3">
      <c r="A411" t="s">
        <v>339</v>
      </c>
      <c r="B411" s="1">
        <v>45753</v>
      </c>
      <c r="C411" t="s">
        <v>340</v>
      </c>
      <c r="D411" t="s">
        <v>134</v>
      </c>
      <c r="E411" t="s">
        <v>75</v>
      </c>
      <c r="F411" t="s">
        <v>20</v>
      </c>
      <c r="G411" t="s">
        <v>76</v>
      </c>
      <c r="H411" t="s">
        <v>122</v>
      </c>
      <c r="I411" t="s">
        <v>217</v>
      </c>
      <c r="J411" s="2">
        <v>9180</v>
      </c>
      <c r="K411">
        <v>6</v>
      </c>
      <c r="L411" s="2">
        <v>0.15</v>
      </c>
      <c r="M411" s="2">
        <v>2407.92</v>
      </c>
      <c r="N411" t="s">
        <v>24</v>
      </c>
      <c r="O411" t="s">
        <v>65</v>
      </c>
      <c r="P411" t="s">
        <v>47</v>
      </c>
    </row>
    <row r="412" spans="1:16" x14ac:dyDescent="0.3">
      <c r="A412" t="s">
        <v>358</v>
      </c>
      <c r="B412" s="1">
        <v>45761</v>
      </c>
      <c r="C412" t="s">
        <v>359</v>
      </c>
      <c r="D412" t="s">
        <v>82</v>
      </c>
      <c r="E412" t="s">
        <v>83</v>
      </c>
      <c r="F412" t="s">
        <v>52</v>
      </c>
      <c r="G412" t="s">
        <v>32</v>
      </c>
      <c r="H412" t="s">
        <v>84</v>
      </c>
      <c r="I412" t="s">
        <v>85</v>
      </c>
      <c r="J412" s="2">
        <v>59375</v>
      </c>
      <c r="K412">
        <v>5</v>
      </c>
      <c r="L412" s="2">
        <v>0.05</v>
      </c>
      <c r="M412" s="2">
        <v>6992.54</v>
      </c>
      <c r="N412" t="s">
        <v>24</v>
      </c>
      <c r="O412" t="s">
        <v>25</v>
      </c>
      <c r="P412" t="s">
        <v>26</v>
      </c>
    </row>
    <row r="413" spans="1:16" x14ac:dyDescent="0.3">
      <c r="A413" t="s">
        <v>1062</v>
      </c>
      <c r="B413" s="1">
        <v>46152</v>
      </c>
      <c r="C413" t="s">
        <v>221</v>
      </c>
      <c r="D413" t="s">
        <v>152</v>
      </c>
      <c r="E413" t="s">
        <v>153</v>
      </c>
      <c r="F413" t="s">
        <v>20</v>
      </c>
      <c r="G413" t="s">
        <v>21</v>
      </c>
      <c r="H413" t="s">
        <v>179</v>
      </c>
      <c r="I413" t="s">
        <v>180</v>
      </c>
      <c r="J413" s="2">
        <v>14400</v>
      </c>
      <c r="K413">
        <v>6</v>
      </c>
      <c r="L413" s="2">
        <v>0</v>
      </c>
      <c r="M413" s="2">
        <v>1423.93</v>
      </c>
      <c r="N413" t="s">
        <v>114</v>
      </c>
      <c r="O413" t="s">
        <v>65</v>
      </c>
      <c r="P413" t="s">
        <v>55</v>
      </c>
    </row>
    <row r="414" spans="1:16" x14ac:dyDescent="0.3">
      <c r="A414" t="s">
        <v>297</v>
      </c>
      <c r="B414" s="1">
        <v>45740</v>
      </c>
      <c r="C414" t="s">
        <v>28</v>
      </c>
      <c r="D414" t="s">
        <v>18</v>
      </c>
      <c r="E414" t="s">
        <v>19</v>
      </c>
      <c r="F414" t="s">
        <v>20</v>
      </c>
      <c r="G414" t="s">
        <v>32</v>
      </c>
      <c r="H414" t="s">
        <v>92</v>
      </c>
      <c r="I414" t="s">
        <v>93</v>
      </c>
      <c r="J414" s="2">
        <v>34500</v>
      </c>
      <c r="K414">
        <v>3</v>
      </c>
      <c r="L414" s="2">
        <v>0</v>
      </c>
      <c r="M414" s="2">
        <v>7673.75</v>
      </c>
      <c r="N414" t="s">
        <v>114</v>
      </c>
      <c r="O414" t="s">
        <v>65</v>
      </c>
      <c r="P414" t="s">
        <v>55</v>
      </c>
    </row>
    <row r="415" spans="1:16" x14ac:dyDescent="0.3">
      <c r="A415" t="s">
        <v>1218</v>
      </c>
      <c r="B415" s="1">
        <v>46258</v>
      </c>
      <c r="C415" t="s">
        <v>676</v>
      </c>
      <c r="D415" t="s">
        <v>104</v>
      </c>
      <c r="E415" t="s">
        <v>83</v>
      </c>
      <c r="F415" t="s">
        <v>52</v>
      </c>
      <c r="G415" t="s">
        <v>21</v>
      </c>
      <c r="H415" t="s">
        <v>22</v>
      </c>
      <c r="I415" t="s">
        <v>111</v>
      </c>
      <c r="J415" s="2">
        <v>285</v>
      </c>
      <c r="K415">
        <v>1</v>
      </c>
      <c r="L415" s="2">
        <v>0.05</v>
      </c>
      <c r="M415" s="2">
        <v>58.66</v>
      </c>
      <c r="N415" t="s">
        <v>64</v>
      </c>
      <c r="O415" t="s">
        <v>65</v>
      </c>
      <c r="P415" t="s">
        <v>55</v>
      </c>
    </row>
    <row r="416" spans="1:16" x14ac:dyDescent="0.3">
      <c r="A416" t="s">
        <v>1161</v>
      </c>
      <c r="B416" s="1">
        <v>46215</v>
      </c>
      <c r="C416" t="s">
        <v>991</v>
      </c>
      <c r="D416" t="s">
        <v>29</v>
      </c>
      <c r="E416" t="s">
        <v>30</v>
      </c>
      <c r="F416" t="s">
        <v>31</v>
      </c>
      <c r="G416" t="s">
        <v>61</v>
      </c>
      <c r="H416" t="s">
        <v>62</v>
      </c>
      <c r="I416" t="s">
        <v>70</v>
      </c>
      <c r="J416" s="2">
        <v>4860</v>
      </c>
      <c r="K416">
        <v>3</v>
      </c>
      <c r="L416" s="2">
        <v>0.1</v>
      </c>
      <c r="M416" s="2">
        <v>1165.27</v>
      </c>
      <c r="N416" t="s">
        <v>35</v>
      </c>
      <c r="O416" t="s">
        <v>105</v>
      </c>
      <c r="P416" t="s">
        <v>55</v>
      </c>
    </row>
    <row r="417" spans="1:16" x14ac:dyDescent="0.3">
      <c r="A417" t="s">
        <v>416</v>
      </c>
      <c r="B417" s="1">
        <v>45788</v>
      </c>
      <c r="C417" t="s">
        <v>417</v>
      </c>
      <c r="D417" t="s">
        <v>119</v>
      </c>
      <c r="E417" t="s">
        <v>75</v>
      </c>
      <c r="F417" t="s">
        <v>20</v>
      </c>
      <c r="G417" t="s">
        <v>32</v>
      </c>
      <c r="H417" t="s">
        <v>84</v>
      </c>
      <c r="I417" t="s">
        <v>140</v>
      </c>
      <c r="J417" s="2">
        <v>27000</v>
      </c>
      <c r="K417">
        <v>4</v>
      </c>
      <c r="L417" s="2">
        <v>0.1</v>
      </c>
      <c r="M417" s="2">
        <v>3691.33</v>
      </c>
      <c r="N417" t="s">
        <v>45</v>
      </c>
      <c r="O417" t="s">
        <v>65</v>
      </c>
      <c r="P417" t="s">
        <v>26</v>
      </c>
    </row>
    <row r="418" spans="1:16" x14ac:dyDescent="0.3">
      <c r="A418" t="s">
        <v>1290</v>
      </c>
      <c r="B418" s="1">
        <v>46310</v>
      </c>
      <c r="C418" t="s">
        <v>213</v>
      </c>
      <c r="D418" t="s">
        <v>134</v>
      </c>
      <c r="E418" t="s">
        <v>75</v>
      </c>
      <c r="F418" t="s">
        <v>20</v>
      </c>
      <c r="G418" t="s">
        <v>42</v>
      </c>
      <c r="H418" t="s">
        <v>279</v>
      </c>
      <c r="I418" t="s">
        <v>280</v>
      </c>
      <c r="J418" s="2">
        <v>33750</v>
      </c>
      <c r="K418">
        <v>3</v>
      </c>
      <c r="L418" s="2">
        <v>0.1</v>
      </c>
      <c r="M418" s="2">
        <v>7251.46</v>
      </c>
      <c r="N418" t="s">
        <v>64</v>
      </c>
      <c r="O418" t="s">
        <v>79</v>
      </c>
      <c r="P418" t="s">
        <v>55</v>
      </c>
    </row>
    <row r="419" spans="1:16" x14ac:dyDescent="0.3">
      <c r="A419" t="s">
        <v>1249</v>
      </c>
      <c r="B419" s="1">
        <v>46284</v>
      </c>
      <c r="C419" t="s">
        <v>503</v>
      </c>
      <c r="D419" t="s">
        <v>104</v>
      </c>
      <c r="E419" t="s">
        <v>83</v>
      </c>
      <c r="F419" t="s">
        <v>52</v>
      </c>
      <c r="G419" t="s">
        <v>42</v>
      </c>
      <c r="H419" t="s">
        <v>43</v>
      </c>
      <c r="I419" t="s">
        <v>44</v>
      </c>
      <c r="J419" s="2">
        <v>24225</v>
      </c>
      <c r="K419">
        <v>3</v>
      </c>
      <c r="L419" s="2">
        <v>0.05</v>
      </c>
      <c r="M419" s="2">
        <v>4483.8599999999997</v>
      </c>
      <c r="N419" t="s">
        <v>24</v>
      </c>
      <c r="O419" t="s">
        <v>36</v>
      </c>
      <c r="P419" t="s">
        <v>55</v>
      </c>
    </row>
    <row r="420" spans="1:16" x14ac:dyDescent="0.3">
      <c r="A420" t="s">
        <v>1231</v>
      </c>
      <c r="B420" s="1">
        <v>46267</v>
      </c>
      <c r="C420" t="s">
        <v>356</v>
      </c>
      <c r="D420" t="s">
        <v>29</v>
      </c>
      <c r="E420" t="s">
        <v>30</v>
      </c>
      <c r="F420" t="s">
        <v>31</v>
      </c>
      <c r="G420" t="s">
        <v>61</v>
      </c>
      <c r="H420" t="s">
        <v>98</v>
      </c>
      <c r="I420" t="s">
        <v>99</v>
      </c>
      <c r="J420" s="2">
        <v>180000</v>
      </c>
      <c r="K420">
        <v>6</v>
      </c>
      <c r="L420" s="2">
        <v>0</v>
      </c>
      <c r="M420" s="2">
        <v>25043.94</v>
      </c>
      <c r="N420" t="s">
        <v>24</v>
      </c>
      <c r="O420" t="s">
        <v>79</v>
      </c>
      <c r="P420" t="s">
        <v>26</v>
      </c>
    </row>
    <row r="421" spans="1:16" x14ac:dyDescent="0.3">
      <c r="A421" t="s">
        <v>825</v>
      </c>
      <c r="B421" s="1">
        <v>46016</v>
      </c>
      <c r="C421" t="s">
        <v>278</v>
      </c>
      <c r="D421" t="s">
        <v>58</v>
      </c>
      <c r="E421" t="s">
        <v>59</v>
      </c>
      <c r="F421" t="s">
        <v>60</v>
      </c>
      <c r="G421" t="s">
        <v>61</v>
      </c>
      <c r="H421" t="s">
        <v>98</v>
      </c>
      <c r="I421" t="s">
        <v>156</v>
      </c>
      <c r="J421" s="2">
        <v>114000</v>
      </c>
      <c r="K421">
        <v>3</v>
      </c>
      <c r="L421" s="2">
        <v>0</v>
      </c>
      <c r="M421" s="2">
        <v>29494.880000000001</v>
      </c>
      <c r="N421" t="s">
        <v>24</v>
      </c>
      <c r="O421" t="s">
        <v>108</v>
      </c>
      <c r="P421" t="s">
        <v>47</v>
      </c>
    </row>
    <row r="422" spans="1:16" x14ac:dyDescent="0.3">
      <c r="A422" t="s">
        <v>682</v>
      </c>
      <c r="B422" s="1">
        <v>45926</v>
      </c>
      <c r="C422" t="s">
        <v>67</v>
      </c>
      <c r="D422" t="s">
        <v>173</v>
      </c>
      <c r="E422" t="s">
        <v>174</v>
      </c>
      <c r="F422" t="s">
        <v>60</v>
      </c>
      <c r="G422" t="s">
        <v>32</v>
      </c>
      <c r="H422" t="s">
        <v>33</v>
      </c>
      <c r="I422" t="s">
        <v>34</v>
      </c>
      <c r="J422" s="2">
        <v>27900</v>
      </c>
      <c r="K422">
        <v>5</v>
      </c>
      <c r="L422" s="2">
        <v>0.1</v>
      </c>
      <c r="M422" s="2">
        <v>5921.4</v>
      </c>
      <c r="N422" t="s">
        <v>24</v>
      </c>
      <c r="O422" t="s">
        <v>25</v>
      </c>
      <c r="P422" t="s">
        <v>55</v>
      </c>
    </row>
    <row r="423" spans="1:16" x14ac:dyDescent="0.3">
      <c r="A423" t="s">
        <v>839</v>
      </c>
      <c r="B423" s="1">
        <v>46024</v>
      </c>
      <c r="C423" t="s">
        <v>446</v>
      </c>
      <c r="D423" t="s">
        <v>173</v>
      </c>
      <c r="E423" t="s">
        <v>174</v>
      </c>
      <c r="F423" t="s">
        <v>60</v>
      </c>
      <c r="G423" t="s">
        <v>32</v>
      </c>
      <c r="H423" t="s">
        <v>84</v>
      </c>
      <c r="I423" t="s">
        <v>85</v>
      </c>
      <c r="J423" s="2">
        <v>67500</v>
      </c>
      <c r="K423">
        <v>6</v>
      </c>
      <c r="L423" s="2">
        <v>0.1</v>
      </c>
      <c r="M423" s="2">
        <v>15513.06</v>
      </c>
      <c r="N423" t="s">
        <v>24</v>
      </c>
      <c r="O423" t="s">
        <v>135</v>
      </c>
      <c r="P423" t="s">
        <v>47</v>
      </c>
    </row>
    <row r="424" spans="1:16" x14ac:dyDescent="0.3">
      <c r="A424" t="s">
        <v>581</v>
      </c>
      <c r="B424" s="1">
        <v>45874</v>
      </c>
      <c r="C424" t="s">
        <v>582</v>
      </c>
      <c r="D424" t="s">
        <v>68</v>
      </c>
      <c r="E424" t="s">
        <v>69</v>
      </c>
      <c r="F424" t="s">
        <v>41</v>
      </c>
      <c r="G424" t="s">
        <v>76</v>
      </c>
      <c r="H424" t="s">
        <v>122</v>
      </c>
      <c r="I424" t="s">
        <v>123</v>
      </c>
      <c r="J424" s="2">
        <v>12540</v>
      </c>
      <c r="K424">
        <v>6</v>
      </c>
      <c r="L424" s="2">
        <v>0.05</v>
      </c>
      <c r="M424" s="2">
        <v>1969.6</v>
      </c>
      <c r="N424" t="s">
        <v>35</v>
      </c>
      <c r="O424" t="s">
        <v>105</v>
      </c>
      <c r="P424" t="s">
        <v>47</v>
      </c>
    </row>
    <row r="425" spans="1:16" x14ac:dyDescent="0.3">
      <c r="A425" t="s">
        <v>494</v>
      </c>
      <c r="B425" s="1">
        <v>45826</v>
      </c>
      <c r="C425" t="s">
        <v>155</v>
      </c>
      <c r="D425" t="s">
        <v>134</v>
      </c>
      <c r="E425" t="s">
        <v>75</v>
      </c>
      <c r="F425" t="s">
        <v>20</v>
      </c>
      <c r="G425" t="s">
        <v>32</v>
      </c>
      <c r="H425" t="s">
        <v>84</v>
      </c>
      <c r="I425" t="s">
        <v>85</v>
      </c>
      <c r="J425" s="2">
        <v>10625</v>
      </c>
      <c r="K425">
        <v>1</v>
      </c>
      <c r="L425" s="2">
        <v>0.15</v>
      </c>
      <c r="M425" s="2">
        <v>1996.81</v>
      </c>
      <c r="N425" t="s">
        <v>64</v>
      </c>
      <c r="O425" t="s">
        <v>46</v>
      </c>
      <c r="P425" t="s">
        <v>26</v>
      </c>
    </row>
    <row r="426" spans="1:16" x14ac:dyDescent="0.3">
      <c r="A426" t="s">
        <v>1279</v>
      </c>
      <c r="B426" s="1">
        <v>46301</v>
      </c>
      <c r="C426" t="s">
        <v>725</v>
      </c>
      <c r="D426" t="s">
        <v>166</v>
      </c>
      <c r="E426" t="s">
        <v>75</v>
      </c>
      <c r="F426" t="s">
        <v>20</v>
      </c>
      <c r="G426" t="s">
        <v>32</v>
      </c>
      <c r="H426" t="s">
        <v>84</v>
      </c>
      <c r="I426" t="s">
        <v>85</v>
      </c>
      <c r="J426" s="2">
        <v>12500</v>
      </c>
      <c r="K426">
        <v>1</v>
      </c>
      <c r="L426" s="2">
        <v>0</v>
      </c>
      <c r="M426" s="2">
        <v>1979.36</v>
      </c>
      <c r="N426" t="s">
        <v>35</v>
      </c>
      <c r="O426" t="s">
        <v>65</v>
      </c>
      <c r="P426" t="s">
        <v>26</v>
      </c>
    </row>
    <row r="427" spans="1:16" x14ac:dyDescent="0.3">
      <c r="A427" t="s">
        <v>1263</v>
      </c>
      <c r="B427" s="1">
        <v>46292</v>
      </c>
      <c r="C427" t="s">
        <v>305</v>
      </c>
      <c r="D427" t="s">
        <v>152</v>
      </c>
      <c r="E427" t="s">
        <v>153</v>
      </c>
      <c r="F427" t="s">
        <v>20</v>
      </c>
      <c r="G427" t="s">
        <v>21</v>
      </c>
      <c r="H427" t="s">
        <v>22</v>
      </c>
      <c r="I427" t="s">
        <v>23</v>
      </c>
      <c r="J427" s="2">
        <v>2025</v>
      </c>
      <c r="K427">
        <v>5</v>
      </c>
      <c r="L427" s="2">
        <v>0.1</v>
      </c>
      <c r="M427" s="2">
        <v>275.52999999999997</v>
      </c>
      <c r="N427" t="s">
        <v>64</v>
      </c>
      <c r="O427" t="s">
        <v>71</v>
      </c>
      <c r="P427" t="s">
        <v>26</v>
      </c>
    </row>
    <row r="428" spans="1:16" x14ac:dyDescent="0.3">
      <c r="A428" t="s">
        <v>177</v>
      </c>
      <c r="B428" s="1">
        <v>45696</v>
      </c>
      <c r="C428" t="s">
        <v>178</v>
      </c>
      <c r="D428" t="s">
        <v>29</v>
      </c>
      <c r="E428" t="s">
        <v>30</v>
      </c>
      <c r="F428" t="s">
        <v>31</v>
      </c>
      <c r="G428" t="s">
        <v>21</v>
      </c>
      <c r="H428" t="s">
        <v>179</v>
      </c>
      <c r="I428" t="s">
        <v>180</v>
      </c>
      <c r="J428" s="2">
        <v>6840</v>
      </c>
      <c r="K428">
        <v>3</v>
      </c>
      <c r="L428" s="2">
        <v>0.05</v>
      </c>
      <c r="M428" s="2">
        <v>1352.69</v>
      </c>
      <c r="N428" t="s">
        <v>45</v>
      </c>
      <c r="O428" t="s">
        <v>71</v>
      </c>
      <c r="P428" t="s">
        <v>47</v>
      </c>
    </row>
    <row r="429" spans="1:16" x14ac:dyDescent="0.3">
      <c r="A429" t="s">
        <v>886</v>
      </c>
      <c r="B429" s="1">
        <v>46047</v>
      </c>
      <c r="C429" t="s">
        <v>749</v>
      </c>
      <c r="D429" t="s">
        <v>134</v>
      </c>
      <c r="E429" t="s">
        <v>75</v>
      </c>
      <c r="F429" t="s">
        <v>20</v>
      </c>
      <c r="G429" t="s">
        <v>42</v>
      </c>
      <c r="H429" t="s">
        <v>53</v>
      </c>
      <c r="I429" t="s">
        <v>120</v>
      </c>
      <c r="J429" s="2">
        <v>21000</v>
      </c>
      <c r="K429">
        <v>5</v>
      </c>
      <c r="L429" s="2">
        <v>0</v>
      </c>
      <c r="M429" s="2">
        <v>5355.56</v>
      </c>
      <c r="N429" t="s">
        <v>45</v>
      </c>
      <c r="O429" t="s">
        <v>105</v>
      </c>
      <c r="P429" t="s">
        <v>47</v>
      </c>
    </row>
    <row r="430" spans="1:16" x14ac:dyDescent="0.3">
      <c r="A430" t="s">
        <v>475</v>
      </c>
      <c r="B430" s="1">
        <v>45812</v>
      </c>
      <c r="C430" t="s">
        <v>186</v>
      </c>
      <c r="D430" t="s">
        <v>96</v>
      </c>
      <c r="E430" t="s">
        <v>97</v>
      </c>
      <c r="F430" t="s">
        <v>20</v>
      </c>
      <c r="G430" t="s">
        <v>76</v>
      </c>
      <c r="H430" t="s">
        <v>122</v>
      </c>
      <c r="I430" t="s">
        <v>217</v>
      </c>
      <c r="J430" s="2">
        <v>1530</v>
      </c>
      <c r="K430">
        <v>1</v>
      </c>
      <c r="L430" s="2">
        <v>0.15</v>
      </c>
      <c r="M430" s="2">
        <v>138.53</v>
      </c>
      <c r="N430" t="s">
        <v>114</v>
      </c>
      <c r="O430" t="s">
        <v>46</v>
      </c>
      <c r="P430" t="s">
        <v>26</v>
      </c>
    </row>
    <row r="431" spans="1:16" x14ac:dyDescent="0.3">
      <c r="A431" t="s">
        <v>662</v>
      </c>
      <c r="B431" s="1">
        <v>45916</v>
      </c>
      <c r="C431" t="s">
        <v>90</v>
      </c>
      <c r="D431" t="s">
        <v>119</v>
      </c>
      <c r="E431" t="s">
        <v>75</v>
      </c>
      <c r="F431" t="s">
        <v>20</v>
      </c>
      <c r="G431" t="s">
        <v>21</v>
      </c>
      <c r="H431" t="s">
        <v>22</v>
      </c>
      <c r="I431" t="s">
        <v>23</v>
      </c>
      <c r="J431" s="2">
        <v>810</v>
      </c>
      <c r="K431">
        <v>2</v>
      </c>
      <c r="L431" s="2">
        <v>0.1</v>
      </c>
      <c r="M431" s="2">
        <v>122.02</v>
      </c>
      <c r="N431" t="s">
        <v>35</v>
      </c>
      <c r="O431" t="s">
        <v>79</v>
      </c>
      <c r="P431" t="s">
        <v>26</v>
      </c>
    </row>
    <row r="432" spans="1:16" x14ac:dyDescent="0.3">
      <c r="A432" t="s">
        <v>346</v>
      </c>
      <c r="B432" s="1">
        <v>45755</v>
      </c>
      <c r="C432" t="s">
        <v>347</v>
      </c>
      <c r="D432" t="s">
        <v>58</v>
      </c>
      <c r="E432" t="s">
        <v>59</v>
      </c>
      <c r="F432" t="s">
        <v>60</v>
      </c>
      <c r="G432" t="s">
        <v>32</v>
      </c>
      <c r="H432" t="s">
        <v>33</v>
      </c>
      <c r="I432" t="s">
        <v>34</v>
      </c>
      <c r="J432" s="2">
        <v>11780</v>
      </c>
      <c r="K432">
        <v>2</v>
      </c>
      <c r="L432" s="2">
        <v>0.05</v>
      </c>
      <c r="M432" s="2">
        <v>1367.19</v>
      </c>
      <c r="N432" t="s">
        <v>35</v>
      </c>
      <c r="O432" t="s">
        <v>36</v>
      </c>
      <c r="P432" t="s">
        <v>55</v>
      </c>
    </row>
    <row r="433" spans="1:16" x14ac:dyDescent="0.3">
      <c r="A433" t="s">
        <v>951</v>
      </c>
      <c r="B433" s="1">
        <v>46090</v>
      </c>
      <c r="C433" t="s">
        <v>592</v>
      </c>
      <c r="D433" t="s">
        <v>91</v>
      </c>
      <c r="E433" t="s">
        <v>91</v>
      </c>
      <c r="F433" t="s">
        <v>60</v>
      </c>
      <c r="G433" t="s">
        <v>61</v>
      </c>
      <c r="H433" t="s">
        <v>98</v>
      </c>
      <c r="I433" t="s">
        <v>156</v>
      </c>
      <c r="J433" s="2">
        <v>228000</v>
      </c>
      <c r="K433">
        <v>6</v>
      </c>
      <c r="L433" s="2">
        <v>0</v>
      </c>
      <c r="M433" s="2">
        <v>37169.699999999997</v>
      </c>
      <c r="N433" t="s">
        <v>114</v>
      </c>
      <c r="O433" t="s">
        <v>79</v>
      </c>
      <c r="P433" t="s">
        <v>26</v>
      </c>
    </row>
    <row r="434" spans="1:16" x14ac:dyDescent="0.3">
      <c r="A434" t="s">
        <v>395</v>
      </c>
      <c r="B434" s="1">
        <v>45780</v>
      </c>
      <c r="C434" t="s">
        <v>396</v>
      </c>
      <c r="D434" t="s">
        <v>152</v>
      </c>
      <c r="E434" t="s">
        <v>153</v>
      </c>
      <c r="F434" t="s">
        <v>20</v>
      </c>
      <c r="G434" t="s">
        <v>42</v>
      </c>
      <c r="H434" t="s">
        <v>53</v>
      </c>
      <c r="I434" t="s">
        <v>120</v>
      </c>
      <c r="J434" s="2">
        <v>11970</v>
      </c>
      <c r="K434">
        <v>3</v>
      </c>
      <c r="L434" s="2">
        <v>0.05</v>
      </c>
      <c r="M434" s="2">
        <v>2518.5300000000002</v>
      </c>
      <c r="N434" t="s">
        <v>45</v>
      </c>
      <c r="O434" t="s">
        <v>108</v>
      </c>
      <c r="P434" t="s">
        <v>26</v>
      </c>
    </row>
    <row r="435" spans="1:16" x14ac:dyDescent="0.3">
      <c r="A435" t="s">
        <v>391</v>
      </c>
      <c r="B435" s="1">
        <v>45779</v>
      </c>
      <c r="C435" t="s">
        <v>349</v>
      </c>
      <c r="D435" t="s">
        <v>96</v>
      </c>
      <c r="E435" t="s">
        <v>97</v>
      </c>
      <c r="F435" t="s">
        <v>20</v>
      </c>
      <c r="G435" t="s">
        <v>21</v>
      </c>
      <c r="H435" t="s">
        <v>175</v>
      </c>
      <c r="I435" t="s">
        <v>176</v>
      </c>
      <c r="J435" s="2">
        <v>3510</v>
      </c>
      <c r="K435">
        <v>6</v>
      </c>
      <c r="L435" s="2">
        <v>0.1</v>
      </c>
      <c r="M435" s="2">
        <v>589.09</v>
      </c>
      <c r="N435" t="s">
        <v>24</v>
      </c>
      <c r="O435" t="s">
        <v>135</v>
      </c>
      <c r="P435" t="s">
        <v>26</v>
      </c>
    </row>
    <row r="436" spans="1:16" x14ac:dyDescent="0.3">
      <c r="A436" t="s">
        <v>778</v>
      </c>
      <c r="B436" s="1">
        <v>45984</v>
      </c>
      <c r="C436" t="s">
        <v>647</v>
      </c>
      <c r="D436" t="s">
        <v>74</v>
      </c>
      <c r="E436" t="s">
        <v>75</v>
      </c>
      <c r="F436" t="s">
        <v>20</v>
      </c>
      <c r="G436" t="s">
        <v>61</v>
      </c>
      <c r="H436" t="s">
        <v>62</v>
      </c>
      <c r="I436" t="s">
        <v>63</v>
      </c>
      <c r="J436" s="2">
        <v>2295</v>
      </c>
      <c r="K436">
        <v>3</v>
      </c>
      <c r="L436" s="2">
        <v>0.15</v>
      </c>
      <c r="M436" s="2">
        <v>389.41</v>
      </c>
      <c r="N436" t="s">
        <v>35</v>
      </c>
      <c r="O436" t="s">
        <v>36</v>
      </c>
      <c r="P436" t="s">
        <v>47</v>
      </c>
    </row>
    <row r="437" spans="1:16" x14ac:dyDescent="0.3">
      <c r="A437" t="s">
        <v>843</v>
      </c>
      <c r="B437" s="1">
        <v>46026</v>
      </c>
      <c r="C437" t="s">
        <v>73</v>
      </c>
      <c r="D437" t="s">
        <v>18</v>
      </c>
      <c r="E437" t="s">
        <v>19</v>
      </c>
      <c r="F437" t="s">
        <v>20</v>
      </c>
      <c r="G437" t="s">
        <v>21</v>
      </c>
      <c r="H437" t="s">
        <v>175</v>
      </c>
      <c r="I437" t="s">
        <v>176</v>
      </c>
      <c r="J437" s="2">
        <v>617.5</v>
      </c>
      <c r="K437">
        <v>1</v>
      </c>
      <c r="L437" s="2">
        <v>0.05</v>
      </c>
      <c r="M437" s="2">
        <v>119.22</v>
      </c>
      <c r="N437" t="s">
        <v>64</v>
      </c>
      <c r="O437" t="s">
        <v>25</v>
      </c>
      <c r="P437" t="s">
        <v>47</v>
      </c>
    </row>
    <row r="438" spans="1:16" x14ac:dyDescent="0.3">
      <c r="A438" t="s">
        <v>942</v>
      </c>
      <c r="B438" s="1">
        <v>46084</v>
      </c>
      <c r="C438" t="s">
        <v>943</v>
      </c>
      <c r="D438" t="s">
        <v>173</v>
      </c>
      <c r="E438" t="s">
        <v>174</v>
      </c>
      <c r="F438" t="s">
        <v>60</v>
      </c>
      <c r="G438" t="s">
        <v>21</v>
      </c>
      <c r="H438" t="s">
        <v>22</v>
      </c>
      <c r="I438" t="s">
        <v>23</v>
      </c>
      <c r="J438" s="2">
        <v>1710</v>
      </c>
      <c r="K438">
        <v>4</v>
      </c>
      <c r="L438" s="2">
        <v>0.05</v>
      </c>
      <c r="M438" s="2">
        <v>465.08</v>
      </c>
      <c r="N438" t="s">
        <v>114</v>
      </c>
      <c r="O438" t="s">
        <v>71</v>
      </c>
      <c r="P438" t="s">
        <v>55</v>
      </c>
    </row>
    <row r="439" spans="1:16" x14ac:dyDescent="0.3">
      <c r="A439" t="s">
        <v>1005</v>
      </c>
      <c r="B439" s="1">
        <v>46125</v>
      </c>
      <c r="C439" t="s">
        <v>164</v>
      </c>
      <c r="D439" t="s">
        <v>68</v>
      </c>
      <c r="E439" t="s">
        <v>69</v>
      </c>
      <c r="F439" t="s">
        <v>41</v>
      </c>
      <c r="G439" t="s">
        <v>61</v>
      </c>
      <c r="H439" t="s">
        <v>98</v>
      </c>
      <c r="I439" t="s">
        <v>99</v>
      </c>
      <c r="J439" s="2">
        <v>85500</v>
      </c>
      <c r="K439">
        <v>3</v>
      </c>
      <c r="L439" s="2">
        <v>0.05</v>
      </c>
      <c r="M439" s="2">
        <v>19547.52</v>
      </c>
      <c r="N439" t="s">
        <v>64</v>
      </c>
      <c r="O439" t="s">
        <v>71</v>
      </c>
      <c r="P439" t="s">
        <v>55</v>
      </c>
    </row>
    <row r="440" spans="1:16" x14ac:dyDescent="0.3">
      <c r="A440" t="s">
        <v>840</v>
      </c>
      <c r="B440" s="1">
        <v>46024</v>
      </c>
      <c r="C440" t="s">
        <v>841</v>
      </c>
      <c r="D440" t="s">
        <v>58</v>
      </c>
      <c r="E440" t="s">
        <v>59</v>
      </c>
      <c r="F440" t="s">
        <v>60</v>
      </c>
      <c r="G440" t="s">
        <v>21</v>
      </c>
      <c r="H440" t="s">
        <v>175</v>
      </c>
      <c r="I440" t="s">
        <v>176</v>
      </c>
      <c r="J440" s="2">
        <v>3510</v>
      </c>
      <c r="K440">
        <v>6</v>
      </c>
      <c r="L440" s="2">
        <v>0.1</v>
      </c>
      <c r="M440" s="2">
        <v>380.45</v>
      </c>
      <c r="N440" t="s">
        <v>35</v>
      </c>
      <c r="O440" t="s">
        <v>46</v>
      </c>
      <c r="P440" t="s">
        <v>26</v>
      </c>
    </row>
    <row r="441" spans="1:16" x14ac:dyDescent="0.3">
      <c r="A441" t="s">
        <v>165</v>
      </c>
      <c r="B441" s="1">
        <v>45692</v>
      </c>
      <c r="C441" t="s">
        <v>162</v>
      </c>
      <c r="D441" t="s">
        <v>166</v>
      </c>
      <c r="E441" t="s">
        <v>75</v>
      </c>
      <c r="F441" t="s">
        <v>20</v>
      </c>
      <c r="G441" t="s">
        <v>32</v>
      </c>
      <c r="H441" t="s">
        <v>84</v>
      </c>
      <c r="I441" t="s">
        <v>85</v>
      </c>
      <c r="J441" s="2">
        <v>59375</v>
      </c>
      <c r="K441">
        <v>5</v>
      </c>
      <c r="L441" s="2">
        <v>0.05</v>
      </c>
      <c r="M441" s="2">
        <v>8524.7900000000009</v>
      </c>
      <c r="N441" t="s">
        <v>35</v>
      </c>
      <c r="O441" t="s">
        <v>79</v>
      </c>
      <c r="P441" t="s">
        <v>26</v>
      </c>
    </row>
    <row r="442" spans="1:16" x14ac:dyDescent="0.3">
      <c r="A442" t="s">
        <v>697</v>
      </c>
      <c r="B442" s="1">
        <v>45932</v>
      </c>
      <c r="C442" t="s">
        <v>73</v>
      </c>
      <c r="D442" t="s">
        <v>68</v>
      </c>
      <c r="E442" t="s">
        <v>69</v>
      </c>
      <c r="F442" t="s">
        <v>41</v>
      </c>
      <c r="G442" t="s">
        <v>21</v>
      </c>
      <c r="H442" t="s">
        <v>22</v>
      </c>
      <c r="I442" t="s">
        <v>23</v>
      </c>
      <c r="J442" s="2">
        <v>1215</v>
      </c>
      <c r="K442">
        <v>3</v>
      </c>
      <c r="L442" s="2">
        <v>0.1</v>
      </c>
      <c r="M442" s="2">
        <v>239.71</v>
      </c>
      <c r="N442" t="s">
        <v>24</v>
      </c>
      <c r="O442" t="s">
        <v>25</v>
      </c>
      <c r="P442" t="s">
        <v>55</v>
      </c>
    </row>
    <row r="443" spans="1:16" x14ac:dyDescent="0.3">
      <c r="A443" t="s">
        <v>1042</v>
      </c>
      <c r="B443" s="1">
        <v>46140</v>
      </c>
      <c r="C443" t="s">
        <v>1043</v>
      </c>
      <c r="D443" t="s">
        <v>68</v>
      </c>
      <c r="E443" t="s">
        <v>69</v>
      </c>
      <c r="F443" t="s">
        <v>41</v>
      </c>
      <c r="G443" t="s">
        <v>42</v>
      </c>
      <c r="H443" t="s">
        <v>53</v>
      </c>
      <c r="I443" t="s">
        <v>120</v>
      </c>
      <c r="J443" s="2">
        <v>25200</v>
      </c>
      <c r="K443">
        <v>6</v>
      </c>
      <c r="L443" s="2">
        <v>0</v>
      </c>
      <c r="M443" s="2">
        <v>5503.93</v>
      </c>
      <c r="N443" t="s">
        <v>114</v>
      </c>
      <c r="O443" t="s">
        <v>46</v>
      </c>
      <c r="P443" t="s">
        <v>47</v>
      </c>
    </row>
    <row r="444" spans="1:16" x14ac:dyDescent="0.3">
      <c r="A444" t="s">
        <v>576</v>
      </c>
      <c r="B444" s="1">
        <v>45871</v>
      </c>
      <c r="C444" t="s">
        <v>389</v>
      </c>
      <c r="D444" t="s">
        <v>82</v>
      </c>
      <c r="E444" t="s">
        <v>83</v>
      </c>
      <c r="F444" t="s">
        <v>52</v>
      </c>
      <c r="G444" t="s">
        <v>61</v>
      </c>
      <c r="H444" t="s">
        <v>98</v>
      </c>
      <c r="I444" t="s">
        <v>156</v>
      </c>
      <c r="J444" s="2">
        <v>121600</v>
      </c>
      <c r="K444">
        <v>4</v>
      </c>
      <c r="L444" s="2">
        <v>0.2</v>
      </c>
      <c r="M444" s="2">
        <v>7005.65</v>
      </c>
      <c r="N444" t="s">
        <v>64</v>
      </c>
      <c r="O444" t="s">
        <v>36</v>
      </c>
      <c r="P444" t="s">
        <v>26</v>
      </c>
    </row>
    <row r="445" spans="1:16" x14ac:dyDescent="0.3">
      <c r="A445" t="s">
        <v>1303</v>
      </c>
      <c r="B445" s="1">
        <v>46315</v>
      </c>
      <c r="C445" t="s">
        <v>244</v>
      </c>
      <c r="D445" t="s">
        <v>82</v>
      </c>
      <c r="E445" t="s">
        <v>83</v>
      </c>
      <c r="F445" t="s">
        <v>52</v>
      </c>
      <c r="G445" t="s">
        <v>32</v>
      </c>
      <c r="H445" t="s">
        <v>84</v>
      </c>
      <c r="I445" t="s">
        <v>85</v>
      </c>
      <c r="J445" s="2">
        <v>33750</v>
      </c>
      <c r="K445">
        <v>3</v>
      </c>
      <c r="L445" s="2">
        <v>0.1</v>
      </c>
      <c r="M445" s="2">
        <v>6190.34</v>
      </c>
      <c r="N445" t="s">
        <v>114</v>
      </c>
      <c r="O445" t="s">
        <v>36</v>
      </c>
      <c r="P445" t="s">
        <v>55</v>
      </c>
    </row>
    <row r="446" spans="1:16" x14ac:dyDescent="0.3">
      <c r="A446" t="s">
        <v>430</v>
      </c>
      <c r="B446" s="1">
        <v>45792</v>
      </c>
      <c r="C446" t="s">
        <v>431</v>
      </c>
      <c r="D446" t="s">
        <v>152</v>
      </c>
      <c r="E446" t="s">
        <v>153</v>
      </c>
      <c r="F446" t="s">
        <v>20</v>
      </c>
      <c r="G446" t="s">
        <v>32</v>
      </c>
      <c r="H446" t="s">
        <v>84</v>
      </c>
      <c r="I446" t="s">
        <v>85</v>
      </c>
      <c r="J446" s="2">
        <v>25000</v>
      </c>
      <c r="K446">
        <v>2</v>
      </c>
      <c r="L446" s="2">
        <v>0</v>
      </c>
      <c r="M446" s="2">
        <v>6137.49</v>
      </c>
      <c r="N446" t="s">
        <v>45</v>
      </c>
      <c r="O446" t="s">
        <v>79</v>
      </c>
      <c r="P446" t="s">
        <v>55</v>
      </c>
    </row>
    <row r="447" spans="1:16" x14ac:dyDescent="0.3">
      <c r="A447" t="s">
        <v>807</v>
      </c>
      <c r="B447" s="1">
        <v>46000</v>
      </c>
      <c r="C447" t="s">
        <v>144</v>
      </c>
      <c r="D447" t="s">
        <v>91</v>
      </c>
      <c r="E447" t="s">
        <v>91</v>
      </c>
      <c r="F447" t="s">
        <v>60</v>
      </c>
      <c r="G447" t="s">
        <v>42</v>
      </c>
      <c r="H447" t="s">
        <v>53</v>
      </c>
      <c r="I447" t="s">
        <v>120</v>
      </c>
      <c r="J447" s="2">
        <v>18900</v>
      </c>
      <c r="K447">
        <v>5</v>
      </c>
      <c r="L447" s="2">
        <v>0.1</v>
      </c>
      <c r="M447" s="2">
        <v>3631.44</v>
      </c>
      <c r="N447" t="s">
        <v>114</v>
      </c>
      <c r="O447" t="s">
        <v>25</v>
      </c>
      <c r="P447" t="s">
        <v>26</v>
      </c>
    </row>
    <row r="448" spans="1:16" x14ac:dyDescent="0.3">
      <c r="A448" t="s">
        <v>264</v>
      </c>
      <c r="B448" s="1">
        <v>45732</v>
      </c>
      <c r="C448" t="s">
        <v>265</v>
      </c>
      <c r="D448" t="s">
        <v>166</v>
      </c>
      <c r="E448" t="s">
        <v>75</v>
      </c>
      <c r="F448" t="s">
        <v>20</v>
      </c>
      <c r="G448" t="s">
        <v>32</v>
      </c>
      <c r="H448" t="s">
        <v>92</v>
      </c>
      <c r="I448" t="s">
        <v>93</v>
      </c>
      <c r="J448" s="2">
        <v>10350</v>
      </c>
      <c r="K448">
        <v>1</v>
      </c>
      <c r="L448" s="2">
        <v>0.1</v>
      </c>
      <c r="M448" s="2">
        <v>1291.46</v>
      </c>
      <c r="N448" t="s">
        <v>45</v>
      </c>
      <c r="O448" t="s">
        <v>46</v>
      </c>
      <c r="P448" t="s">
        <v>26</v>
      </c>
    </row>
    <row r="449" spans="1:16" x14ac:dyDescent="0.3">
      <c r="A449" t="s">
        <v>163</v>
      </c>
      <c r="B449" s="1">
        <v>45692</v>
      </c>
      <c r="C449" t="s">
        <v>164</v>
      </c>
      <c r="D449" t="s">
        <v>74</v>
      </c>
      <c r="E449" t="s">
        <v>75</v>
      </c>
      <c r="F449" t="s">
        <v>20</v>
      </c>
      <c r="G449" t="s">
        <v>61</v>
      </c>
      <c r="H449" t="s">
        <v>98</v>
      </c>
      <c r="I449" t="s">
        <v>156</v>
      </c>
      <c r="J449" s="2">
        <v>68400</v>
      </c>
      <c r="K449">
        <v>2</v>
      </c>
      <c r="L449" s="2">
        <v>0.1</v>
      </c>
      <c r="M449" s="2">
        <v>9991.58</v>
      </c>
      <c r="N449" t="s">
        <v>64</v>
      </c>
      <c r="O449" t="s">
        <v>25</v>
      </c>
      <c r="P449" t="s">
        <v>47</v>
      </c>
    </row>
    <row r="450" spans="1:16" x14ac:dyDescent="0.3">
      <c r="A450" t="s">
        <v>515</v>
      </c>
      <c r="B450" s="1">
        <v>45839</v>
      </c>
      <c r="C450" t="s">
        <v>516</v>
      </c>
      <c r="D450" t="s">
        <v>50</v>
      </c>
      <c r="E450" t="s">
        <v>51</v>
      </c>
      <c r="F450" t="s">
        <v>52</v>
      </c>
      <c r="G450" t="s">
        <v>21</v>
      </c>
      <c r="H450" t="s">
        <v>175</v>
      </c>
      <c r="I450" t="s">
        <v>176</v>
      </c>
      <c r="J450" s="2">
        <v>1170</v>
      </c>
      <c r="K450">
        <v>2</v>
      </c>
      <c r="L450" s="2">
        <v>0.1</v>
      </c>
      <c r="M450" s="2">
        <v>269.76</v>
      </c>
      <c r="N450" t="s">
        <v>64</v>
      </c>
      <c r="O450" t="s">
        <v>108</v>
      </c>
      <c r="P450" t="s">
        <v>55</v>
      </c>
    </row>
    <row r="451" spans="1:16" x14ac:dyDescent="0.3">
      <c r="A451" t="s">
        <v>1260</v>
      </c>
      <c r="B451" s="1">
        <v>46291</v>
      </c>
      <c r="C451" t="s">
        <v>95</v>
      </c>
      <c r="D451" t="s">
        <v>119</v>
      </c>
      <c r="E451" t="s">
        <v>75</v>
      </c>
      <c r="F451" t="s">
        <v>20</v>
      </c>
      <c r="G451" t="s">
        <v>61</v>
      </c>
      <c r="H451" t="s">
        <v>98</v>
      </c>
      <c r="I451" t="s">
        <v>99</v>
      </c>
      <c r="J451" s="2">
        <v>57000</v>
      </c>
      <c r="K451">
        <v>2</v>
      </c>
      <c r="L451" s="2">
        <v>0.05</v>
      </c>
      <c r="M451" s="2">
        <v>10578.45</v>
      </c>
      <c r="N451" t="s">
        <v>45</v>
      </c>
      <c r="O451" t="s">
        <v>46</v>
      </c>
      <c r="P451" t="s">
        <v>55</v>
      </c>
    </row>
    <row r="452" spans="1:16" x14ac:dyDescent="0.3">
      <c r="A452" t="s">
        <v>1029</v>
      </c>
      <c r="B452" s="1">
        <v>46136</v>
      </c>
      <c r="C452" t="s">
        <v>233</v>
      </c>
      <c r="D452" t="s">
        <v>58</v>
      </c>
      <c r="E452" t="s">
        <v>59</v>
      </c>
      <c r="F452" t="s">
        <v>60</v>
      </c>
      <c r="G452" t="s">
        <v>42</v>
      </c>
      <c r="H452" t="s">
        <v>53</v>
      </c>
      <c r="I452" t="s">
        <v>120</v>
      </c>
      <c r="J452" s="2">
        <v>15120</v>
      </c>
      <c r="K452">
        <v>4</v>
      </c>
      <c r="L452" s="2">
        <v>0.1</v>
      </c>
      <c r="M452" s="2">
        <v>1123.69</v>
      </c>
      <c r="N452" t="s">
        <v>64</v>
      </c>
      <c r="O452" t="s">
        <v>36</v>
      </c>
      <c r="P452" t="s">
        <v>47</v>
      </c>
    </row>
    <row r="453" spans="1:16" x14ac:dyDescent="0.3">
      <c r="A453" t="s">
        <v>1300</v>
      </c>
      <c r="B453" s="1">
        <v>46315</v>
      </c>
      <c r="C453" t="s">
        <v>696</v>
      </c>
      <c r="D453" t="s">
        <v>134</v>
      </c>
      <c r="E453" t="s">
        <v>75</v>
      </c>
      <c r="F453" t="s">
        <v>20</v>
      </c>
      <c r="G453" t="s">
        <v>61</v>
      </c>
      <c r="H453" t="s">
        <v>98</v>
      </c>
      <c r="I453" t="s">
        <v>156</v>
      </c>
      <c r="J453" s="2">
        <v>32300</v>
      </c>
      <c r="K453">
        <v>1</v>
      </c>
      <c r="L453" s="2">
        <v>0.15</v>
      </c>
      <c r="M453" s="2">
        <v>5030.24</v>
      </c>
      <c r="N453" t="s">
        <v>114</v>
      </c>
      <c r="O453" t="s">
        <v>65</v>
      </c>
      <c r="P453" t="s">
        <v>47</v>
      </c>
    </row>
    <row r="454" spans="1:16" x14ac:dyDescent="0.3">
      <c r="A454" t="s">
        <v>1104</v>
      </c>
      <c r="B454" s="1">
        <v>46178</v>
      </c>
      <c r="C454" t="s">
        <v>356</v>
      </c>
      <c r="D454" t="s">
        <v>39</v>
      </c>
      <c r="E454" t="s">
        <v>40</v>
      </c>
      <c r="F454" t="s">
        <v>41</v>
      </c>
      <c r="G454" t="s">
        <v>42</v>
      </c>
      <c r="H454" t="s">
        <v>43</v>
      </c>
      <c r="I454" t="s">
        <v>44</v>
      </c>
      <c r="J454" s="2">
        <v>7225</v>
      </c>
      <c r="K454">
        <v>1</v>
      </c>
      <c r="L454" s="2">
        <v>0.15</v>
      </c>
      <c r="M454" s="2">
        <v>569.89</v>
      </c>
      <c r="N454" t="s">
        <v>114</v>
      </c>
      <c r="O454" t="s">
        <v>108</v>
      </c>
      <c r="P454" t="s">
        <v>26</v>
      </c>
    </row>
    <row r="455" spans="1:16" x14ac:dyDescent="0.3">
      <c r="A455" t="s">
        <v>415</v>
      </c>
      <c r="B455" s="1">
        <v>45787</v>
      </c>
      <c r="C455" t="s">
        <v>274</v>
      </c>
      <c r="D455" t="s">
        <v>134</v>
      </c>
      <c r="E455" t="s">
        <v>75</v>
      </c>
      <c r="F455" t="s">
        <v>20</v>
      </c>
      <c r="G455" t="s">
        <v>21</v>
      </c>
      <c r="H455" t="s">
        <v>175</v>
      </c>
      <c r="I455" t="s">
        <v>176</v>
      </c>
      <c r="J455" s="2">
        <v>3087.5</v>
      </c>
      <c r="K455">
        <v>5</v>
      </c>
      <c r="L455" s="2">
        <v>0.05</v>
      </c>
      <c r="M455" s="2">
        <v>695.64</v>
      </c>
      <c r="N455" t="s">
        <v>114</v>
      </c>
      <c r="O455" t="s">
        <v>46</v>
      </c>
      <c r="P455" t="s">
        <v>26</v>
      </c>
    </row>
    <row r="456" spans="1:16" x14ac:dyDescent="0.3">
      <c r="A456" t="s">
        <v>1058</v>
      </c>
      <c r="B456" s="1">
        <v>46150</v>
      </c>
      <c r="C456" t="s">
        <v>1059</v>
      </c>
      <c r="D456" t="s">
        <v>173</v>
      </c>
      <c r="E456" t="s">
        <v>174</v>
      </c>
      <c r="F456" t="s">
        <v>60</v>
      </c>
      <c r="G456" t="s">
        <v>32</v>
      </c>
      <c r="H456" t="s">
        <v>84</v>
      </c>
      <c r="I456" t="s">
        <v>140</v>
      </c>
      <c r="J456" s="2">
        <v>7500</v>
      </c>
      <c r="K456">
        <v>1</v>
      </c>
      <c r="L456" s="2">
        <v>0</v>
      </c>
      <c r="M456" s="2">
        <v>1092.8399999999999</v>
      </c>
      <c r="N456" t="s">
        <v>114</v>
      </c>
      <c r="O456" t="s">
        <v>108</v>
      </c>
      <c r="P456" t="s">
        <v>55</v>
      </c>
    </row>
    <row r="457" spans="1:16" x14ac:dyDescent="0.3">
      <c r="A457" t="s">
        <v>531</v>
      </c>
      <c r="B457" s="1">
        <v>45849</v>
      </c>
      <c r="C457" t="s">
        <v>499</v>
      </c>
      <c r="D457" t="s">
        <v>68</v>
      </c>
      <c r="E457" t="s">
        <v>69</v>
      </c>
      <c r="F457" t="s">
        <v>41</v>
      </c>
      <c r="G457" t="s">
        <v>61</v>
      </c>
      <c r="H457" t="s">
        <v>62</v>
      </c>
      <c r="I457" t="s">
        <v>70</v>
      </c>
      <c r="J457" s="2">
        <v>5130</v>
      </c>
      <c r="K457">
        <v>3</v>
      </c>
      <c r="L457" s="2">
        <v>0.05</v>
      </c>
      <c r="M457" s="2">
        <v>819.61</v>
      </c>
      <c r="N457" t="s">
        <v>45</v>
      </c>
      <c r="O457" t="s">
        <v>135</v>
      </c>
      <c r="P457" t="s">
        <v>47</v>
      </c>
    </row>
    <row r="458" spans="1:16" x14ac:dyDescent="0.3">
      <c r="A458" t="s">
        <v>520</v>
      </c>
      <c r="B458" s="1">
        <v>45840</v>
      </c>
      <c r="C458" t="s">
        <v>521</v>
      </c>
      <c r="D458" t="s">
        <v>96</v>
      </c>
      <c r="E458" t="s">
        <v>97</v>
      </c>
      <c r="F458" t="s">
        <v>20</v>
      </c>
      <c r="G458" t="s">
        <v>76</v>
      </c>
      <c r="H458" t="s">
        <v>122</v>
      </c>
      <c r="I458" t="s">
        <v>123</v>
      </c>
      <c r="J458" s="2">
        <v>2090</v>
      </c>
      <c r="K458">
        <v>1</v>
      </c>
      <c r="L458" s="2">
        <v>0.05</v>
      </c>
      <c r="M458" s="2">
        <v>466.64</v>
      </c>
      <c r="N458" t="s">
        <v>45</v>
      </c>
      <c r="O458" t="s">
        <v>79</v>
      </c>
      <c r="P458" t="s">
        <v>55</v>
      </c>
    </row>
    <row r="459" spans="1:16" x14ac:dyDescent="0.3">
      <c r="A459" t="s">
        <v>1071</v>
      </c>
      <c r="B459" s="1">
        <v>46157</v>
      </c>
      <c r="C459" t="s">
        <v>551</v>
      </c>
      <c r="D459" t="s">
        <v>173</v>
      </c>
      <c r="E459" t="s">
        <v>174</v>
      </c>
      <c r="F459" t="s">
        <v>60</v>
      </c>
      <c r="G459" t="s">
        <v>32</v>
      </c>
      <c r="H459" t="s">
        <v>84</v>
      </c>
      <c r="I459" t="s">
        <v>140</v>
      </c>
      <c r="J459" s="2">
        <v>45000</v>
      </c>
      <c r="K459">
        <v>6</v>
      </c>
      <c r="L459" s="2">
        <v>0</v>
      </c>
      <c r="M459" s="2">
        <v>5836.86</v>
      </c>
      <c r="N459" t="s">
        <v>64</v>
      </c>
      <c r="O459" t="s">
        <v>46</v>
      </c>
      <c r="P459" t="s">
        <v>55</v>
      </c>
    </row>
    <row r="460" spans="1:16" x14ac:dyDescent="0.3">
      <c r="A460" t="s">
        <v>964</v>
      </c>
      <c r="B460" s="1">
        <v>46096</v>
      </c>
      <c r="C460" t="s">
        <v>227</v>
      </c>
      <c r="D460" t="s">
        <v>58</v>
      </c>
      <c r="E460" t="s">
        <v>59</v>
      </c>
      <c r="F460" t="s">
        <v>60</v>
      </c>
      <c r="G460" t="s">
        <v>42</v>
      </c>
      <c r="H460" t="s">
        <v>53</v>
      </c>
      <c r="I460" t="s">
        <v>120</v>
      </c>
      <c r="J460" s="2">
        <v>22680</v>
      </c>
      <c r="K460">
        <v>6</v>
      </c>
      <c r="L460" s="2">
        <v>0.1</v>
      </c>
      <c r="M460" s="2">
        <v>5832.83</v>
      </c>
      <c r="N460" t="s">
        <v>45</v>
      </c>
      <c r="O460" t="s">
        <v>108</v>
      </c>
      <c r="P460" t="s">
        <v>55</v>
      </c>
    </row>
    <row r="461" spans="1:16" x14ac:dyDescent="0.3">
      <c r="A461" t="s">
        <v>1344</v>
      </c>
      <c r="B461" s="1">
        <v>46345</v>
      </c>
      <c r="C461" t="s">
        <v>307</v>
      </c>
      <c r="D461" t="s">
        <v>74</v>
      </c>
      <c r="E461" t="s">
        <v>75</v>
      </c>
      <c r="F461" t="s">
        <v>20</v>
      </c>
      <c r="G461" t="s">
        <v>32</v>
      </c>
      <c r="H461" t="s">
        <v>84</v>
      </c>
      <c r="I461" t="s">
        <v>85</v>
      </c>
      <c r="J461" s="2">
        <v>37500</v>
      </c>
      <c r="K461">
        <v>3</v>
      </c>
      <c r="L461" s="2">
        <v>0</v>
      </c>
      <c r="M461" s="2">
        <v>3038.55</v>
      </c>
      <c r="N461" t="s">
        <v>45</v>
      </c>
      <c r="O461" t="s">
        <v>86</v>
      </c>
      <c r="P461" t="s">
        <v>55</v>
      </c>
    </row>
    <row r="462" spans="1:16" x14ac:dyDescent="0.3">
      <c r="A462" t="s">
        <v>539</v>
      </c>
      <c r="B462" s="1">
        <v>45857</v>
      </c>
      <c r="C462" t="s">
        <v>540</v>
      </c>
      <c r="D462" t="s">
        <v>134</v>
      </c>
      <c r="E462" t="s">
        <v>75</v>
      </c>
      <c r="F462" t="s">
        <v>20</v>
      </c>
      <c r="G462" t="s">
        <v>32</v>
      </c>
      <c r="H462" t="s">
        <v>92</v>
      </c>
      <c r="I462" t="s">
        <v>93</v>
      </c>
      <c r="J462" s="2">
        <v>29325</v>
      </c>
      <c r="K462">
        <v>3</v>
      </c>
      <c r="L462" s="2">
        <v>0.15</v>
      </c>
      <c r="M462" s="2">
        <v>7649.28</v>
      </c>
      <c r="N462" t="s">
        <v>45</v>
      </c>
      <c r="O462" t="s">
        <v>135</v>
      </c>
      <c r="P462" t="s">
        <v>47</v>
      </c>
    </row>
    <row r="463" spans="1:16" x14ac:dyDescent="0.3">
      <c r="A463" t="s">
        <v>1154</v>
      </c>
      <c r="B463" s="1">
        <v>46210</v>
      </c>
      <c r="C463" t="s">
        <v>1027</v>
      </c>
      <c r="D463" t="s">
        <v>39</v>
      </c>
      <c r="E463" t="s">
        <v>40</v>
      </c>
      <c r="F463" t="s">
        <v>41</v>
      </c>
      <c r="G463" t="s">
        <v>61</v>
      </c>
      <c r="H463" t="s">
        <v>98</v>
      </c>
      <c r="I463" t="s">
        <v>156</v>
      </c>
      <c r="J463" s="2">
        <v>34200</v>
      </c>
      <c r="K463">
        <v>1</v>
      </c>
      <c r="L463" s="2">
        <v>0.1</v>
      </c>
      <c r="M463" s="2">
        <v>8241.7099999999991</v>
      </c>
      <c r="N463" t="s">
        <v>114</v>
      </c>
      <c r="O463" t="s">
        <v>25</v>
      </c>
      <c r="P463" t="s">
        <v>47</v>
      </c>
    </row>
    <row r="464" spans="1:16" x14ac:dyDescent="0.3">
      <c r="A464" t="s">
        <v>596</v>
      </c>
      <c r="B464" s="1">
        <v>45881</v>
      </c>
      <c r="C464" t="s">
        <v>597</v>
      </c>
      <c r="D464" t="s">
        <v>96</v>
      </c>
      <c r="E464" t="s">
        <v>97</v>
      </c>
      <c r="F464" t="s">
        <v>20</v>
      </c>
      <c r="G464" t="s">
        <v>42</v>
      </c>
      <c r="H464" t="s">
        <v>53</v>
      </c>
      <c r="I464" t="s">
        <v>120</v>
      </c>
      <c r="J464" s="2">
        <v>11340</v>
      </c>
      <c r="K464">
        <v>3</v>
      </c>
      <c r="L464" s="2">
        <v>0.1</v>
      </c>
      <c r="M464" s="2">
        <v>1801.84</v>
      </c>
      <c r="N464" t="s">
        <v>45</v>
      </c>
      <c r="O464" t="s">
        <v>65</v>
      </c>
      <c r="P464" t="s">
        <v>47</v>
      </c>
    </row>
    <row r="465" spans="1:16" x14ac:dyDescent="0.3">
      <c r="A465" t="s">
        <v>1081</v>
      </c>
      <c r="B465" s="1">
        <v>46159</v>
      </c>
      <c r="C465" t="s">
        <v>265</v>
      </c>
      <c r="D465" t="s">
        <v>96</v>
      </c>
      <c r="E465" t="s">
        <v>97</v>
      </c>
      <c r="F465" t="s">
        <v>20</v>
      </c>
      <c r="G465" t="s">
        <v>42</v>
      </c>
      <c r="H465" t="s">
        <v>53</v>
      </c>
      <c r="I465" t="s">
        <v>120</v>
      </c>
      <c r="J465" s="2">
        <v>3990</v>
      </c>
      <c r="K465">
        <v>1</v>
      </c>
      <c r="L465" s="2">
        <v>0.05</v>
      </c>
      <c r="M465" s="2">
        <v>408.13</v>
      </c>
      <c r="N465" t="s">
        <v>45</v>
      </c>
      <c r="O465" t="s">
        <v>71</v>
      </c>
      <c r="P465" t="s">
        <v>55</v>
      </c>
    </row>
    <row r="466" spans="1:16" x14ac:dyDescent="0.3">
      <c r="A466" t="s">
        <v>656</v>
      </c>
      <c r="B466" s="1">
        <v>45913</v>
      </c>
      <c r="C466" t="s">
        <v>437</v>
      </c>
      <c r="D466" t="s">
        <v>18</v>
      </c>
      <c r="E466" t="s">
        <v>19</v>
      </c>
      <c r="F466" t="s">
        <v>20</v>
      </c>
      <c r="G466" t="s">
        <v>42</v>
      </c>
      <c r="H466" t="s">
        <v>53</v>
      </c>
      <c r="I466" t="s">
        <v>54</v>
      </c>
      <c r="J466" s="2">
        <v>8550</v>
      </c>
      <c r="K466">
        <v>5</v>
      </c>
      <c r="L466" s="2">
        <v>0.05</v>
      </c>
      <c r="M466" s="2">
        <v>1971.93</v>
      </c>
      <c r="N466" t="s">
        <v>114</v>
      </c>
      <c r="O466" t="s">
        <v>25</v>
      </c>
      <c r="P466" t="s">
        <v>47</v>
      </c>
    </row>
    <row r="467" spans="1:16" x14ac:dyDescent="0.3">
      <c r="A467" t="s">
        <v>1363</v>
      </c>
      <c r="B467" s="1">
        <v>46361</v>
      </c>
      <c r="C467" t="s">
        <v>869</v>
      </c>
      <c r="D467" t="s">
        <v>173</v>
      </c>
      <c r="E467" t="s">
        <v>174</v>
      </c>
      <c r="F467" t="s">
        <v>60</v>
      </c>
      <c r="G467" t="s">
        <v>61</v>
      </c>
      <c r="H467" t="s">
        <v>62</v>
      </c>
      <c r="I467" t="s">
        <v>70</v>
      </c>
      <c r="J467" s="2">
        <v>1800</v>
      </c>
      <c r="K467">
        <v>1</v>
      </c>
      <c r="L467" s="2">
        <v>0</v>
      </c>
      <c r="M467" s="2">
        <v>204.29</v>
      </c>
      <c r="N467" t="s">
        <v>45</v>
      </c>
      <c r="O467" t="s">
        <v>79</v>
      </c>
      <c r="P467" t="s">
        <v>47</v>
      </c>
    </row>
    <row r="468" spans="1:16" x14ac:dyDescent="0.3">
      <c r="A468" t="s">
        <v>731</v>
      </c>
      <c r="B468" s="1">
        <v>45948</v>
      </c>
      <c r="C468" t="s">
        <v>113</v>
      </c>
      <c r="D468" t="s">
        <v>119</v>
      </c>
      <c r="E468" t="s">
        <v>75</v>
      </c>
      <c r="F468" t="s">
        <v>20</v>
      </c>
      <c r="G468" t="s">
        <v>21</v>
      </c>
      <c r="H468" t="s">
        <v>22</v>
      </c>
      <c r="I468" t="s">
        <v>23</v>
      </c>
      <c r="J468" s="2">
        <v>2565</v>
      </c>
      <c r="K468">
        <v>6</v>
      </c>
      <c r="L468" s="2">
        <v>0.05</v>
      </c>
      <c r="M468" s="2">
        <v>405.3</v>
      </c>
      <c r="N468" t="s">
        <v>35</v>
      </c>
      <c r="O468" t="s">
        <v>25</v>
      </c>
      <c r="P468" t="s">
        <v>55</v>
      </c>
    </row>
    <row r="469" spans="1:16" x14ac:dyDescent="0.3">
      <c r="A469" t="s">
        <v>1206</v>
      </c>
      <c r="B469" s="1">
        <v>46250</v>
      </c>
      <c r="C469" t="s">
        <v>186</v>
      </c>
      <c r="D469" t="s">
        <v>119</v>
      </c>
      <c r="E469" t="s">
        <v>75</v>
      </c>
      <c r="F469" t="s">
        <v>20</v>
      </c>
      <c r="G469" t="s">
        <v>32</v>
      </c>
      <c r="H469" t="s">
        <v>33</v>
      </c>
      <c r="I469" t="s">
        <v>34</v>
      </c>
      <c r="J469" s="2">
        <v>10540</v>
      </c>
      <c r="K469">
        <v>2</v>
      </c>
      <c r="L469" s="2">
        <v>0.15</v>
      </c>
      <c r="M469" s="2">
        <v>2039.11</v>
      </c>
      <c r="N469" t="s">
        <v>114</v>
      </c>
      <c r="O469" t="s">
        <v>105</v>
      </c>
      <c r="P469" t="s">
        <v>55</v>
      </c>
    </row>
    <row r="470" spans="1:16" x14ac:dyDescent="0.3">
      <c r="A470" t="s">
        <v>806</v>
      </c>
      <c r="B470" s="1">
        <v>45999</v>
      </c>
      <c r="C470" t="s">
        <v>606</v>
      </c>
      <c r="D470" t="s">
        <v>91</v>
      </c>
      <c r="E470" t="s">
        <v>91</v>
      </c>
      <c r="F470" t="s">
        <v>60</v>
      </c>
      <c r="G470" t="s">
        <v>21</v>
      </c>
      <c r="H470" t="s">
        <v>22</v>
      </c>
      <c r="I470" t="s">
        <v>23</v>
      </c>
      <c r="J470" s="2">
        <v>1912.5</v>
      </c>
      <c r="K470">
        <v>5</v>
      </c>
      <c r="L470" s="2">
        <v>0.15</v>
      </c>
      <c r="M470" s="2">
        <v>163.09</v>
      </c>
      <c r="N470" t="s">
        <v>114</v>
      </c>
      <c r="O470" t="s">
        <v>79</v>
      </c>
      <c r="P470" t="s">
        <v>55</v>
      </c>
    </row>
    <row r="471" spans="1:16" x14ac:dyDescent="0.3">
      <c r="A471" t="s">
        <v>399</v>
      </c>
      <c r="B471" s="1">
        <v>45782</v>
      </c>
      <c r="C471" t="s">
        <v>211</v>
      </c>
      <c r="D471" t="s">
        <v>173</v>
      </c>
      <c r="E471" t="s">
        <v>174</v>
      </c>
      <c r="F471" t="s">
        <v>60</v>
      </c>
      <c r="G471" t="s">
        <v>76</v>
      </c>
      <c r="H471" t="s">
        <v>77</v>
      </c>
      <c r="I471" t="s">
        <v>78</v>
      </c>
      <c r="J471" s="2">
        <v>2280</v>
      </c>
      <c r="K471">
        <v>1</v>
      </c>
      <c r="L471" s="2">
        <v>0.05</v>
      </c>
      <c r="M471" s="2">
        <v>494.93</v>
      </c>
      <c r="N471" t="s">
        <v>45</v>
      </c>
      <c r="O471" t="s">
        <v>25</v>
      </c>
      <c r="P471" t="s">
        <v>47</v>
      </c>
    </row>
    <row r="472" spans="1:16" x14ac:dyDescent="0.3">
      <c r="A472" t="s">
        <v>1013</v>
      </c>
      <c r="B472" s="1">
        <v>46129</v>
      </c>
      <c r="C472" t="s">
        <v>542</v>
      </c>
      <c r="D472" t="s">
        <v>91</v>
      </c>
      <c r="E472" t="s">
        <v>91</v>
      </c>
      <c r="F472" t="s">
        <v>60</v>
      </c>
      <c r="G472" t="s">
        <v>42</v>
      </c>
      <c r="H472" t="s">
        <v>279</v>
      </c>
      <c r="I472" t="s">
        <v>280</v>
      </c>
      <c r="J472" s="2">
        <v>75000</v>
      </c>
      <c r="K472">
        <v>6</v>
      </c>
      <c r="L472" s="2">
        <v>0</v>
      </c>
      <c r="M472" s="2">
        <v>9489.5499999999993</v>
      </c>
      <c r="N472" t="s">
        <v>35</v>
      </c>
      <c r="O472" t="s">
        <v>79</v>
      </c>
      <c r="P472" t="s">
        <v>26</v>
      </c>
    </row>
    <row r="473" spans="1:16" x14ac:dyDescent="0.3">
      <c r="A473" t="s">
        <v>1069</v>
      </c>
      <c r="B473" s="1">
        <v>46156</v>
      </c>
      <c r="C473" t="s">
        <v>564</v>
      </c>
      <c r="D473" t="s">
        <v>119</v>
      </c>
      <c r="E473" t="s">
        <v>75</v>
      </c>
      <c r="F473" t="s">
        <v>20</v>
      </c>
      <c r="G473" t="s">
        <v>32</v>
      </c>
      <c r="H473" t="s">
        <v>33</v>
      </c>
      <c r="I473" t="s">
        <v>34</v>
      </c>
      <c r="J473" s="2">
        <v>27900</v>
      </c>
      <c r="K473">
        <v>5</v>
      </c>
      <c r="L473" s="2">
        <v>0.1</v>
      </c>
      <c r="M473" s="2">
        <v>6657.74</v>
      </c>
      <c r="N473" t="s">
        <v>24</v>
      </c>
      <c r="O473" t="s">
        <v>135</v>
      </c>
      <c r="P473" t="s">
        <v>55</v>
      </c>
    </row>
    <row r="474" spans="1:16" x14ac:dyDescent="0.3">
      <c r="A474" t="s">
        <v>210</v>
      </c>
      <c r="B474" s="1">
        <v>45709</v>
      </c>
      <c r="C474" t="s">
        <v>211</v>
      </c>
      <c r="D474" t="s">
        <v>18</v>
      </c>
      <c r="E474" t="s">
        <v>19</v>
      </c>
      <c r="F474" t="s">
        <v>20</v>
      </c>
      <c r="G474" t="s">
        <v>32</v>
      </c>
      <c r="H474" t="s">
        <v>33</v>
      </c>
      <c r="I474" t="s">
        <v>34</v>
      </c>
      <c r="J474" s="2">
        <v>35340</v>
      </c>
      <c r="K474">
        <v>6</v>
      </c>
      <c r="L474" s="2">
        <v>0.05</v>
      </c>
      <c r="M474" s="2">
        <v>6368.92</v>
      </c>
      <c r="N474" t="s">
        <v>114</v>
      </c>
      <c r="O474" t="s">
        <v>105</v>
      </c>
      <c r="P474" t="s">
        <v>47</v>
      </c>
    </row>
    <row r="475" spans="1:16" x14ac:dyDescent="0.3">
      <c r="A475" t="s">
        <v>1121</v>
      </c>
      <c r="B475" s="1">
        <v>46189</v>
      </c>
      <c r="C475" t="s">
        <v>454</v>
      </c>
      <c r="D475" t="s">
        <v>173</v>
      </c>
      <c r="E475" t="s">
        <v>174</v>
      </c>
      <c r="F475" t="s">
        <v>60</v>
      </c>
      <c r="G475" t="s">
        <v>76</v>
      </c>
      <c r="H475" t="s">
        <v>77</v>
      </c>
      <c r="I475" t="s">
        <v>78</v>
      </c>
      <c r="J475" s="2">
        <v>7680</v>
      </c>
      <c r="K475">
        <v>4</v>
      </c>
      <c r="L475" s="2">
        <v>0.2</v>
      </c>
      <c r="M475" s="2">
        <v>722</v>
      </c>
      <c r="N475" t="s">
        <v>64</v>
      </c>
      <c r="O475" t="s">
        <v>79</v>
      </c>
      <c r="P475" t="s">
        <v>26</v>
      </c>
    </row>
    <row r="476" spans="1:16" x14ac:dyDescent="0.3">
      <c r="A476" t="s">
        <v>717</v>
      </c>
      <c r="B476" s="1">
        <v>45943</v>
      </c>
      <c r="C476" t="s">
        <v>609</v>
      </c>
      <c r="D476" t="s">
        <v>119</v>
      </c>
      <c r="E476" t="s">
        <v>75</v>
      </c>
      <c r="F476" t="s">
        <v>20</v>
      </c>
      <c r="G476" t="s">
        <v>61</v>
      </c>
      <c r="H476" t="s">
        <v>98</v>
      </c>
      <c r="I476" t="s">
        <v>156</v>
      </c>
      <c r="J476" s="2">
        <v>205200</v>
      </c>
      <c r="K476">
        <v>6</v>
      </c>
      <c r="L476" s="2">
        <v>0.1</v>
      </c>
      <c r="M476" s="2">
        <v>26490.959999999999</v>
      </c>
      <c r="N476" t="s">
        <v>114</v>
      </c>
      <c r="O476" t="s">
        <v>135</v>
      </c>
      <c r="P476" t="s">
        <v>26</v>
      </c>
    </row>
    <row r="477" spans="1:16" x14ac:dyDescent="0.3">
      <c r="A477" t="s">
        <v>559</v>
      </c>
      <c r="B477" s="1">
        <v>45864</v>
      </c>
      <c r="C477" t="s">
        <v>38</v>
      </c>
      <c r="D477" t="s">
        <v>58</v>
      </c>
      <c r="E477" t="s">
        <v>59</v>
      </c>
      <c r="F477" t="s">
        <v>60</v>
      </c>
      <c r="G477" t="s">
        <v>61</v>
      </c>
      <c r="H477" t="s">
        <v>62</v>
      </c>
      <c r="I477" t="s">
        <v>70</v>
      </c>
      <c r="J477" s="2">
        <v>3420</v>
      </c>
      <c r="K477">
        <v>2</v>
      </c>
      <c r="L477" s="2">
        <v>0.05</v>
      </c>
      <c r="M477" s="2">
        <v>463.45</v>
      </c>
      <c r="N477" t="s">
        <v>45</v>
      </c>
      <c r="O477" t="s">
        <v>86</v>
      </c>
      <c r="P477" t="s">
        <v>55</v>
      </c>
    </row>
    <row r="478" spans="1:16" x14ac:dyDescent="0.3">
      <c r="A478" t="s">
        <v>1367</v>
      </c>
      <c r="B478" s="1">
        <v>46367</v>
      </c>
      <c r="C478" t="s">
        <v>553</v>
      </c>
      <c r="D478" t="s">
        <v>74</v>
      </c>
      <c r="E478" t="s">
        <v>75</v>
      </c>
      <c r="F478" t="s">
        <v>20</v>
      </c>
      <c r="G478" t="s">
        <v>32</v>
      </c>
      <c r="H478" t="s">
        <v>92</v>
      </c>
      <c r="I478" t="s">
        <v>93</v>
      </c>
      <c r="J478" s="2">
        <v>29325</v>
      </c>
      <c r="K478">
        <v>3</v>
      </c>
      <c r="L478" s="2">
        <v>0.15</v>
      </c>
      <c r="M478" s="2">
        <v>1996.39</v>
      </c>
      <c r="N478" t="s">
        <v>45</v>
      </c>
      <c r="O478" t="s">
        <v>25</v>
      </c>
      <c r="P478" t="s">
        <v>55</v>
      </c>
    </row>
    <row r="479" spans="1:16" x14ac:dyDescent="0.3">
      <c r="A479" t="s">
        <v>235</v>
      </c>
      <c r="B479" s="1">
        <v>45722</v>
      </c>
      <c r="C479" t="s">
        <v>236</v>
      </c>
      <c r="D479" t="s">
        <v>104</v>
      </c>
      <c r="E479" t="s">
        <v>83</v>
      </c>
      <c r="F479" t="s">
        <v>52</v>
      </c>
      <c r="G479" t="s">
        <v>76</v>
      </c>
      <c r="H479" t="s">
        <v>122</v>
      </c>
      <c r="I479" t="s">
        <v>123</v>
      </c>
      <c r="J479" s="2">
        <v>5610</v>
      </c>
      <c r="K479">
        <v>3</v>
      </c>
      <c r="L479" s="2">
        <v>0.15</v>
      </c>
      <c r="M479" s="2">
        <v>378.5</v>
      </c>
      <c r="N479" t="s">
        <v>45</v>
      </c>
      <c r="O479" t="s">
        <v>25</v>
      </c>
      <c r="P479" t="s">
        <v>26</v>
      </c>
    </row>
    <row r="480" spans="1:16" x14ac:dyDescent="0.3">
      <c r="A480" t="s">
        <v>981</v>
      </c>
      <c r="B480" s="1">
        <v>46109</v>
      </c>
      <c r="C480" t="s">
        <v>441</v>
      </c>
      <c r="D480" t="s">
        <v>50</v>
      </c>
      <c r="E480" t="s">
        <v>51</v>
      </c>
      <c r="F480" t="s">
        <v>52</v>
      </c>
      <c r="G480" t="s">
        <v>76</v>
      </c>
      <c r="H480" t="s">
        <v>122</v>
      </c>
      <c r="I480" t="s">
        <v>123</v>
      </c>
      <c r="J480" s="2">
        <v>10450</v>
      </c>
      <c r="K480">
        <v>5</v>
      </c>
      <c r="L480" s="2">
        <v>0.05</v>
      </c>
      <c r="M480" s="2">
        <v>1394.12</v>
      </c>
      <c r="N480" t="s">
        <v>45</v>
      </c>
      <c r="O480" t="s">
        <v>71</v>
      </c>
      <c r="P480" t="s">
        <v>47</v>
      </c>
    </row>
    <row r="481" spans="1:16" x14ac:dyDescent="0.3">
      <c r="A481" t="s">
        <v>962</v>
      </c>
      <c r="B481" s="1">
        <v>46095</v>
      </c>
      <c r="C481" t="s">
        <v>219</v>
      </c>
      <c r="D481" t="s">
        <v>166</v>
      </c>
      <c r="E481" t="s">
        <v>75</v>
      </c>
      <c r="F481" t="s">
        <v>20</v>
      </c>
      <c r="G481" t="s">
        <v>32</v>
      </c>
      <c r="H481" t="s">
        <v>84</v>
      </c>
      <c r="I481" t="s">
        <v>140</v>
      </c>
      <c r="J481" s="2">
        <v>25500</v>
      </c>
      <c r="K481">
        <v>4</v>
      </c>
      <c r="L481" s="2">
        <v>0.15</v>
      </c>
      <c r="M481" s="2">
        <v>5373.13</v>
      </c>
      <c r="N481" t="s">
        <v>35</v>
      </c>
      <c r="O481" t="s">
        <v>79</v>
      </c>
      <c r="P481" t="s">
        <v>55</v>
      </c>
    </row>
    <row r="482" spans="1:16" x14ac:dyDescent="0.3">
      <c r="A482" t="s">
        <v>342</v>
      </c>
      <c r="B482" s="1">
        <v>45754</v>
      </c>
      <c r="C482" t="s">
        <v>233</v>
      </c>
      <c r="D482" t="s">
        <v>166</v>
      </c>
      <c r="E482" t="s">
        <v>75</v>
      </c>
      <c r="F482" t="s">
        <v>20</v>
      </c>
      <c r="G482" t="s">
        <v>61</v>
      </c>
      <c r="H482" t="s">
        <v>128</v>
      </c>
      <c r="I482" t="s">
        <v>129</v>
      </c>
      <c r="J482" s="2">
        <v>98800</v>
      </c>
      <c r="K482">
        <v>2</v>
      </c>
      <c r="L482" s="2">
        <v>0.05</v>
      </c>
      <c r="M482" s="2">
        <v>12333.76</v>
      </c>
      <c r="N482" t="s">
        <v>114</v>
      </c>
      <c r="O482" t="s">
        <v>46</v>
      </c>
      <c r="P482" t="s">
        <v>55</v>
      </c>
    </row>
    <row r="483" spans="1:16" x14ac:dyDescent="0.3">
      <c r="A483" t="s">
        <v>787</v>
      </c>
      <c r="B483" s="1">
        <v>45991</v>
      </c>
      <c r="C483" t="s">
        <v>184</v>
      </c>
      <c r="D483" t="s">
        <v>91</v>
      </c>
      <c r="E483" t="s">
        <v>91</v>
      </c>
      <c r="F483" t="s">
        <v>60</v>
      </c>
      <c r="G483" t="s">
        <v>42</v>
      </c>
      <c r="H483" t="s">
        <v>53</v>
      </c>
      <c r="I483" t="s">
        <v>54</v>
      </c>
      <c r="J483" s="2">
        <v>3600</v>
      </c>
      <c r="K483">
        <v>2</v>
      </c>
      <c r="L483" s="2">
        <v>0</v>
      </c>
      <c r="M483" s="2">
        <v>994.51</v>
      </c>
      <c r="N483" t="s">
        <v>45</v>
      </c>
      <c r="O483" t="s">
        <v>46</v>
      </c>
      <c r="P483" t="s">
        <v>26</v>
      </c>
    </row>
    <row r="484" spans="1:16" x14ac:dyDescent="0.3">
      <c r="A484" t="s">
        <v>1237</v>
      </c>
      <c r="B484" s="1">
        <v>46274</v>
      </c>
      <c r="C484" t="s">
        <v>340</v>
      </c>
      <c r="D484" t="s">
        <v>166</v>
      </c>
      <c r="E484" t="s">
        <v>75</v>
      </c>
      <c r="F484" t="s">
        <v>20</v>
      </c>
      <c r="G484" t="s">
        <v>21</v>
      </c>
      <c r="H484" t="s">
        <v>22</v>
      </c>
      <c r="I484" t="s">
        <v>23</v>
      </c>
      <c r="J484" s="2">
        <v>1147.5</v>
      </c>
      <c r="K484">
        <v>3</v>
      </c>
      <c r="L484" s="2">
        <v>0.15</v>
      </c>
      <c r="M484" s="2">
        <v>227.15</v>
      </c>
      <c r="N484" t="s">
        <v>24</v>
      </c>
      <c r="O484" t="s">
        <v>79</v>
      </c>
      <c r="P484" t="s">
        <v>55</v>
      </c>
    </row>
    <row r="485" spans="1:16" x14ac:dyDescent="0.3">
      <c r="A485" t="s">
        <v>262</v>
      </c>
      <c r="B485" s="1">
        <v>45731</v>
      </c>
      <c r="C485" t="s">
        <v>263</v>
      </c>
      <c r="D485" t="s">
        <v>58</v>
      </c>
      <c r="E485" t="s">
        <v>59</v>
      </c>
      <c r="F485" t="s">
        <v>60</v>
      </c>
      <c r="G485" t="s">
        <v>61</v>
      </c>
      <c r="H485" t="s">
        <v>128</v>
      </c>
      <c r="I485" t="s">
        <v>195</v>
      </c>
      <c r="J485" s="2">
        <v>295800</v>
      </c>
      <c r="K485">
        <v>6</v>
      </c>
      <c r="L485" s="2">
        <v>0.15</v>
      </c>
      <c r="M485" s="2">
        <v>43465.05</v>
      </c>
      <c r="N485" t="s">
        <v>35</v>
      </c>
      <c r="O485" t="s">
        <v>135</v>
      </c>
      <c r="P485" t="s">
        <v>26</v>
      </c>
    </row>
    <row r="486" spans="1:16" x14ac:dyDescent="0.3">
      <c r="A486" t="s">
        <v>413</v>
      </c>
      <c r="B486" s="1">
        <v>45787</v>
      </c>
      <c r="C486" t="s">
        <v>414</v>
      </c>
      <c r="D486" t="s">
        <v>29</v>
      </c>
      <c r="E486" t="s">
        <v>30</v>
      </c>
      <c r="F486" t="s">
        <v>31</v>
      </c>
      <c r="G486" t="s">
        <v>32</v>
      </c>
      <c r="H486" t="s">
        <v>33</v>
      </c>
      <c r="I486" t="s">
        <v>34</v>
      </c>
      <c r="J486" s="2">
        <v>23560</v>
      </c>
      <c r="K486">
        <v>4</v>
      </c>
      <c r="L486" s="2">
        <v>0.05</v>
      </c>
      <c r="M486" s="2">
        <v>3941.67</v>
      </c>
      <c r="N486" t="s">
        <v>114</v>
      </c>
      <c r="O486" t="s">
        <v>36</v>
      </c>
      <c r="P486" t="s">
        <v>55</v>
      </c>
    </row>
    <row r="487" spans="1:16" x14ac:dyDescent="0.3">
      <c r="A487" t="s">
        <v>382</v>
      </c>
      <c r="B487" s="1">
        <v>45774</v>
      </c>
      <c r="C487" t="s">
        <v>95</v>
      </c>
      <c r="D487" t="s">
        <v>68</v>
      </c>
      <c r="E487" t="s">
        <v>69</v>
      </c>
      <c r="F487" t="s">
        <v>41</v>
      </c>
      <c r="G487" t="s">
        <v>61</v>
      </c>
      <c r="H487" t="s">
        <v>128</v>
      </c>
      <c r="I487" t="s">
        <v>195</v>
      </c>
      <c r="J487" s="2">
        <v>49300</v>
      </c>
      <c r="K487">
        <v>1</v>
      </c>
      <c r="L487" s="2">
        <v>0.15</v>
      </c>
      <c r="M487" s="2">
        <v>10459.07</v>
      </c>
      <c r="N487" t="s">
        <v>114</v>
      </c>
      <c r="O487" t="s">
        <v>86</v>
      </c>
      <c r="P487" t="s">
        <v>47</v>
      </c>
    </row>
    <row r="488" spans="1:16" x14ac:dyDescent="0.3">
      <c r="A488" t="s">
        <v>1284</v>
      </c>
      <c r="B488" s="1">
        <v>46306</v>
      </c>
      <c r="C488" t="s">
        <v>223</v>
      </c>
      <c r="D488" t="s">
        <v>18</v>
      </c>
      <c r="E488" t="s">
        <v>19</v>
      </c>
      <c r="F488" t="s">
        <v>20</v>
      </c>
      <c r="G488" t="s">
        <v>21</v>
      </c>
      <c r="H488" t="s">
        <v>175</v>
      </c>
      <c r="I488" t="s">
        <v>176</v>
      </c>
      <c r="J488" s="2">
        <v>2762.5</v>
      </c>
      <c r="K488">
        <v>5</v>
      </c>
      <c r="L488" s="2">
        <v>0.15</v>
      </c>
      <c r="M488" s="2">
        <v>409.6</v>
      </c>
      <c r="N488" t="s">
        <v>64</v>
      </c>
      <c r="O488" t="s">
        <v>105</v>
      </c>
      <c r="P488" t="s">
        <v>47</v>
      </c>
    </row>
    <row r="489" spans="1:16" x14ac:dyDescent="0.3">
      <c r="A489" t="s">
        <v>1200</v>
      </c>
      <c r="B489" s="1">
        <v>46243</v>
      </c>
      <c r="C489" t="s">
        <v>333</v>
      </c>
      <c r="D489" t="s">
        <v>29</v>
      </c>
      <c r="E489" t="s">
        <v>30</v>
      </c>
      <c r="F489" t="s">
        <v>31</v>
      </c>
      <c r="G489" t="s">
        <v>21</v>
      </c>
      <c r="H489" t="s">
        <v>22</v>
      </c>
      <c r="I489" t="s">
        <v>111</v>
      </c>
      <c r="J489" s="2">
        <v>855</v>
      </c>
      <c r="K489">
        <v>3</v>
      </c>
      <c r="L489" s="2">
        <v>0.05</v>
      </c>
      <c r="M489" s="2">
        <v>140.94</v>
      </c>
      <c r="N489" t="s">
        <v>35</v>
      </c>
      <c r="O489" t="s">
        <v>108</v>
      </c>
      <c r="P489" t="s">
        <v>26</v>
      </c>
    </row>
    <row r="490" spans="1:16" x14ac:dyDescent="0.3">
      <c r="A490" t="s">
        <v>911</v>
      </c>
      <c r="B490" s="1">
        <v>46061</v>
      </c>
      <c r="C490" t="s">
        <v>900</v>
      </c>
      <c r="D490" t="s">
        <v>39</v>
      </c>
      <c r="E490" t="s">
        <v>40</v>
      </c>
      <c r="F490" t="s">
        <v>41</v>
      </c>
      <c r="G490" t="s">
        <v>32</v>
      </c>
      <c r="H490" t="s">
        <v>84</v>
      </c>
      <c r="I490" t="s">
        <v>140</v>
      </c>
      <c r="J490" s="2">
        <v>38250</v>
      </c>
      <c r="K490">
        <v>6</v>
      </c>
      <c r="L490" s="2">
        <v>0.15</v>
      </c>
      <c r="M490" s="2">
        <v>4818.88</v>
      </c>
      <c r="N490" t="s">
        <v>24</v>
      </c>
      <c r="O490" t="s">
        <v>36</v>
      </c>
      <c r="P490" t="s">
        <v>26</v>
      </c>
    </row>
    <row r="491" spans="1:16" x14ac:dyDescent="0.3">
      <c r="A491" t="s">
        <v>473</v>
      </c>
      <c r="B491" s="1">
        <v>45811</v>
      </c>
      <c r="C491" t="s">
        <v>474</v>
      </c>
      <c r="D491" t="s">
        <v>96</v>
      </c>
      <c r="E491" t="s">
        <v>97</v>
      </c>
      <c r="F491" t="s">
        <v>20</v>
      </c>
      <c r="G491" t="s">
        <v>21</v>
      </c>
      <c r="H491" t="s">
        <v>175</v>
      </c>
      <c r="I491" t="s">
        <v>176</v>
      </c>
      <c r="J491" s="2">
        <v>2762.5</v>
      </c>
      <c r="K491">
        <v>5</v>
      </c>
      <c r="L491" s="2">
        <v>0.15</v>
      </c>
      <c r="M491" s="2">
        <v>228.21</v>
      </c>
      <c r="N491" t="s">
        <v>64</v>
      </c>
      <c r="O491" t="s">
        <v>71</v>
      </c>
      <c r="P491" t="s">
        <v>26</v>
      </c>
    </row>
    <row r="492" spans="1:16" x14ac:dyDescent="0.3">
      <c r="A492" t="s">
        <v>1277</v>
      </c>
      <c r="B492" s="1">
        <v>46300</v>
      </c>
      <c r="C492" t="s">
        <v>412</v>
      </c>
      <c r="D492" t="s">
        <v>74</v>
      </c>
      <c r="E492" t="s">
        <v>75</v>
      </c>
      <c r="F492" t="s">
        <v>20</v>
      </c>
      <c r="G492" t="s">
        <v>32</v>
      </c>
      <c r="H492" t="s">
        <v>92</v>
      </c>
      <c r="I492" t="s">
        <v>93</v>
      </c>
      <c r="J492" s="2">
        <v>31050</v>
      </c>
      <c r="K492">
        <v>3</v>
      </c>
      <c r="L492" s="2">
        <v>0.1</v>
      </c>
      <c r="M492" s="2">
        <v>6809.79</v>
      </c>
      <c r="N492" t="s">
        <v>35</v>
      </c>
      <c r="O492" t="s">
        <v>135</v>
      </c>
      <c r="P492" t="s">
        <v>26</v>
      </c>
    </row>
    <row r="493" spans="1:16" x14ac:dyDescent="0.3">
      <c r="A493" t="s">
        <v>1168</v>
      </c>
      <c r="B493" s="1">
        <v>46218</v>
      </c>
      <c r="C493" t="s">
        <v>410</v>
      </c>
      <c r="D493" t="s">
        <v>82</v>
      </c>
      <c r="E493" t="s">
        <v>83</v>
      </c>
      <c r="F493" t="s">
        <v>52</v>
      </c>
      <c r="G493" t="s">
        <v>21</v>
      </c>
      <c r="H493" t="s">
        <v>22</v>
      </c>
      <c r="I493" t="s">
        <v>111</v>
      </c>
      <c r="J493" s="2">
        <v>1020</v>
      </c>
      <c r="K493">
        <v>4</v>
      </c>
      <c r="L493" s="2">
        <v>0.15</v>
      </c>
      <c r="M493" s="2">
        <v>240.29</v>
      </c>
      <c r="N493" t="s">
        <v>35</v>
      </c>
      <c r="O493" t="s">
        <v>86</v>
      </c>
      <c r="P493" t="s">
        <v>26</v>
      </c>
    </row>
    <row r="494" spans="1:16" x14ac:dyDescent="0.3">
      <c r="A494" t="s">
        <v>321</v>
      </c>
      <c r="B494" s="1">
        <v>45747</v>
      </c>
      <c r="C494" t="s">
        <v>322</v>
      </c>
      <c r="D494" t="s">
        <v>152</v>
      </c>
      <c r="E494" t="s">
        <v>153</v>
      </c>
      <c r="F494" t="s">
        <v>20</v>
      </c>
      <c r="G494" t="s">
        <v>32</v>
      </c>
      <c r="H494" t="s">
        <v>84</v>
      </c>
      <c r="I494" t="s">
        <v>85</v>
      </c>
      <c r="J494" s="2">
        <v>50000</v>
      </c>
      <c r="K494">
        <v>4</v>
      </c>
      <c r="L494" s="2">
        <v>0</v>
      </c>
      <c r="M494" s="2">
        <v>11493.69</v>
      </c>
      <c r="N494" t="s">
        <v>64</v>
      </c>
      <c r="O494" t="s">
        <v>108</v>
      </c>
      <c r="P494" t="s">
        <v>26</v>
      </c>
    </row>
    <row r="495" spans="1:16" x14ac:dyDescent="0.3">
      <c r="A495" t="s">
        <v>1243</v>
      </c>
      <c r="B495" s="1">
        <v>46277</v>
      </c>
      <c r="C495" t="s">
        <v>192</v>
      </c>
      <c r="D495" t="s">
        <v>39</v>
      </c>
      <c r="E495" t="s">
        <v>40</v>
      </c>
      <c r="F495" t="s">
        <v>41</v>
      </c>
      <c r="G495" t="s">
        <v>32</v>
      </c>
      <c r="H495" t="s">
        <v>33</v>
      </c>
      <c r="I495" t="s">
        <v>34</v>
      </c>
      <c r="J495" s="2">
        <v>22320</v>
      </c>
      <c r="K495">
        <v>4</v>
      </c>
      <c r="L495" s="2">
        <v>0.1</v>
      </c>
      <c r="M495" s="2">
        <v>3303.9</v>
      </c>
      <c r="N495" t="s">
        <v>35</v>
      </c>
      <c r="O495" t="s">
        <v>25</v>
      </c>
      <c r="P495" t="s">
        <v>26</v>
      </c>
    </row>
    <row r="496" spans="1:16" x14ac:dyDescent="0.3">
      <c r="A496" t="s">
        <v>1188</v>
      </c>
      <c r="B496" s="1">
        <v>46235</v>
      </c>
      <c r="C496" t="s">
        <v>125</v>
      </c>
      <c r="D496" t="s">
        <v>173</v>
      </c>
      <c r="E496" t="s">
        <v>174</v>
      </c>
      <c r="F496" t="s">
        <v>60</v>
      </c>
      <c r="G496" t="s">
        <v>61</v>
      </c>
      <c r="H496" t="s">
        <v>128</v>
      </c>
      <c r="I496" t="s">
        <v>195</v>
      </c>
      <c r="J496" s="2">
        <v>232000</v>
      </c>
      <c r="K496">
        <v>4</v>
      </c>
      <c r="L496" s="2">
        <v>0</v>
      </c>
      <c r="M496" s="2">
        <v>28117.47</v>
      </c>
      <c r="N496" t="s">
        <v>114</v>
      </c>
      <c r="O496" t="s">
        <v>46</v>
      </c>
      <c r="P496" t="s">
        <v>26</v>
      </c>
    </row>
    <row r="497" spans="1:16" x14ac:dyDescent="0.3">
      <c r="A497" t="s">
        <v>768</v>
      </c>
      <c r="B497" s="1">
        <v>45979</v>
      </c>
      <c r="C497" t="s">
        <v>769</v>
      </c>
      <c r="D497" t="s">
        <v>173</v>
      </c>
      <c r="E497" t="s">
        <v>174</v>
      </c>
      <c r="F497" t="s">
        <v>60</v>
      </c>
      <c r="G497" t="s">
        <v>61</v>
      </c>
      <c r="H497" t="s">
        <v>128</v>
      </c>
      <c r="I497" t="s">
        <v>195</v>
      </c>
      <c r="J497" s="2">
        <v>197200</v>
      </c>
      <c r="K497">
        <v>4</v>
      </c>
      <c r="L497" s="2">
        <v>0.15</v>
      </c>
      <c r="M497" s="2">
        <v>49863.5</v>
      </c>
      <c r="N497" t="s">
        <v>45</v>
      </c>
      <c r="O497" t="s">
        <v>71</v>
      </c>
      <c r="P497" t="s">
        <v>26</v>
      </c>
    </row>
    <row r="498" spans="1:16" x14ac:dyDescent="0.3">
      <c r="A498" t="s">
        <v>846</v>
      </c>
      <c r="B498" s="1">
        <v>46030</v>
      </c>
      <c r="C498" t="s">
        <v>561</v>
      </c>
      <c r="D498" t="s">
        <v>173</v>
      </c>
      <c r="E498" t="s">
        <v>174</v>
      </c>
      <c r="F498" t="s">
        <v>60</v>
      </c>
      <c r="G498" t="s">
        <v>61</v>
      </c>
      <c r="H498" t="s">
        <v>98</v>
      </c>
      <c r="I498" t="s">
        <v>99</v>
      </c>
      <c r="J498" s="2">
        <v>180000</v>
      </c>
      <c r="K498">
        <v>6</v>
      </c>
      <c r="L498" s="2">
        <v>0</v>
      </c>
      <c r="M498" s="2">
        <v>44715.85</v>
      </c>
      <c r="N498" t="s">
        <v>45</v>
      </c>
      <c r="O498" t="s">
        <v>79</v>
      </c>
      <c r="P498" t="s">
        <v>55</v>
      </c>
    </row>
    <row r="499" spans="1:16" x14ac:dyDescent="0.3">
      <c r="A499" t="s">
        <v>1125</v>
      </c>
      <c r="B499" s="1">
        <v>46192</v>
      </c>
      <c r="C499" t="s">
        <v>338</v>
      </c>
      <c r="D499" t="s">
        <v>104</v>
      </c>
      <c r="E499" t="s">
        <v>83</v>
      </c>
      <c r="F499" t="s">
        <v>52</v>
      </c>
      <c r="G499" t="s">
        <v>61</v>
      </c>
      <c r="H499" t="s">
        <v>98</v>
      </c>
      <c r="I499" t="s">
        <v>156</v>
      </c>
      <c r="J499" s="2">
        <v>190000</v>
      </c>
      <c r="K499">
        <v>5</v>
      </c>
      <c r="L499" s="2">
        <v>0</v>
      </c>
      <c r="M499" s="2">
        <v>31553.17</v>
      </c>
      <c r="N499" t="s">
        <v>45</v>
      </c>
      <c r="O499" t="s">
        <v>79</v>
      </c>
      <c r="P499" t="s">
        <v>26</v>
      </c>
    </row>
    <row r="500" spans="1:16" x14ac:dyDescent="0.3">
      <c r="A500" t="s">
        <v>1143</v>
      </c>
      <c r="B500" s="1">
        <v>46204</v>
      </c>
      <c r="C500" t="s">
        <v>322</v>
      </c>
      <c r="D500" t="s">
        <v>58</v>
      </c>
      <c r="E500" t="s">
        <v>59</v>
      </c>
      <c r="F500" t="s">
        <v>60</v>
      </c>
      <c r="G500" t="s">
        <v>61</v>
      </c>
      <c r="H500" t="s">
        <v>62</v>
      </c>
      <c r="I500" t="s">
        <v>63</v>
      </c>
      <c r="J500" s="2">
        <v>810</v>
      </c>
      <c r="K500">
        <v>1</v>
      </c>
      <c r="L500" s="2">
        <v>0.1</v>
      </c>
      <c r="M500" s="2">
        <v>194.33</v>
      </c>
      <c r="N500" t="s">
        <v>35</v>
      </c>
      <c r="O500" t="s">
        <v>79</v>
      </c>
      <c r="P500" t="s">
        <v>55</v>
      </c>
    </row>
    <row r="501" spans="1:16" x14ac:dyDescent="0.3">
      <c r="A501" t="s">
        <v>1097</v>
      </c>
      <c r="B501" s="1">
        <v>46173</v>
      </c>
      <c r="C501" t="s">
        <v>575</v>
      </c>
      <c r="D501" t="s">
        <v>173</v>
      </c>
      <c r="E501" t="s">
        <v>174</v>
      </c>
      <c r="F501" t="s">
        <v>60</v>
      </c>
      <c r="G501" t="s">
        <v>21</v>
      </c>
      <c r="H501" t="s">
        <v>22</v>
      </c>
      <c r="I501" t="s">
        <v>111</v>
      </c>
      <c r="J501" s="2">
        <v>600</v>
      </c>
      <c r="K501">
        <v>2</v>
      </c>
      <c r="L501" s="2">
        <v>0</v>
      </c>
      <c r="M501" s="2">
        <v>143.03</v>
      </c>
      <c r="N501" t="s">
        <v>35</v>
      </c>
      <c r="O501" t="s">
        <v>108</v>
      </c>
      <c r="P501" t="s">
        <v>26</v>
      </c>
    </row>
    <row r="502" spans="1:16" x14ac:dyDescent="0.3">
      <c r="A502" t="s">
        <v>890</v>
      </c>
      <c r="B502" s="1">
        <v>46049</v>
      </c>
      <c r="C502" t="s">
        <v>402</v>
      </c>
      <c r="D502" t="s">
        <v>82</v>
      </c>
      <c r="E502" t="s">
        <v>83</v>
      </c>
      <c r="F502" t="s">
        <v>52</v>
      </c>
      <c r="G502" t="s">
        <v>76</v>
      </c>
      <c r="H502" t="s">
        <v>122</v>
      </c>
      <c r="I502" t="s">
        <v>217</v>
      </c>
      <c r="J502" s="2">
        <v>9000</v>
      </c>
      <c r="K502">
        <v>5</v>
      </c>
      <c r="L502" s="2">
        <v>0</v>
      </c>
      <c r="M502" s="2">
        <v>938.55</v>
      </c>
      <c r="N502" t="s">
        <v>64</v>
      </c>
      <c r="O502" t="s">
        <v>36</v>
      </c>
      <c r="P502" t="s">
        <v>47</v>
      </c>
    </row>
    <row r="503" spans="1:16" x14ac:dyDescent="0.3">
      <c r="A503" t="s">
        <v>1023</v>
      </c>
      <c r="B503" s="1">
        <v>46134</v>
      </c>
      <c r="C503" t="s">
        <v>976</v>
      </c>
      <c r="D503" t="s">
        <v>18</v>
      </c>
      <c r="E503" t="s">
        <v>19</v>
      </c>
      <c r="F503" t="s">
        <v>20</v>
      </c>
      <c r="G503" t="s">
        <v>32</v>
      </c>
      <c r="H503" t="s">
        <v>84</v>
      </c>
      <c r="I503" t="s">
        <v>85</v>
      </c>
      <c r="J503" s="2">
        <v>56250</v>
      </c>
      <c r="K503">
        <v>5</v>
      </c>
      <c r="L503" s="2">
        <v>0.1</v>
      </c>
      <c r="M503" s="2">
        <v>13221.83</v>
      </c>
      <c r="N503" t="s">
        <v>114</v>
      </c>
      <c r="O503" t="s">
        <v>79</v>
      </c>
      <c r="P503" t="s">
        <v>47</v>
      </c>
    </row>
    <row r="504" spans="1:16" x14ac:dyDescent="0.3">
      <c r="A504" t="s">
        <v>405</v>
      </c>
      <c r="B504" s="1">
        <v>45786</v>
      </c>
      <c r="C504" t="s">
        <v>242</v>
      </c>
      <c r="D504" t="s">
        <v>104</v>
      </c>
      <c r="E504" t="s">
        <v>83</v>
      </c>
      <c r="F504" t="s">
        <v>52</v>
      </c>
      <c r="G504" t="s">
        <v>42</v>
      </c>
      <c r="H504" t="s">
        <v>279</v>
      </c>
      <c r="I504" t="s">
        <v>280</v>
      </c>
      <c r="J504" s="2">
        <v>25000</v>
      </c>
      <c r="K504">
        <v>2</v>
      </c>
      <c r="L504" s="2">
        <v>0</v>
      </c>
      <c r="M504" s="2">
        <v>6467.02</v>
      </c>
      <c r="N504" t="s">
        <v>114</v>
      </c>
      <c r="O504" t="s">
        <v>79</v>
      </c>
      <c r="P504" t="s">
        <v>47</v>
      </c>
    </row>
    <row r="505" spans="1:16" x14ac:dyDescent="0.3">
      <c r="A505" t="s">
        <v>388</v>
      </c>
      <c r="B505" s="1">
        <v>45777</v>
      </c>
      <c r="C505" t="s">
        <v>389</v>
      </c>
      <c r="D505" t="s">
        <v>152</v>
      </c>
      <c r="E505" t="s">
        <v>153</v>
      </c>
      <c r="F505" t="s">
        <v>20</v>
      </c>
      <c r="G505" t="s">
        <v>61</v>
      </c>
      <c r="H505" t="s">
        <v>62</v>
      </c>
      <c r="I505" t="s">
        <v>70</v>
      </c>
      <c r="J505" s="2">
        <v>1620</v>
      </c>
      <c r="K505">
        <v>1</v>
      </c>
      <c r="L505" s="2">
        <v>0.1</v>
      </c>
      <c r="M505" s="2">
        <v>136.69</v>
      </c>
      <c r="N505" t="s">
        <v>114</v>
      </c>
      <c r="O505" t="s">
        <v>36</v>
      </c>
      <c r="P505" t="s">
        <v>47</v>
      </c>
    </row>
    <row r="506" spans="1:16" x14ac:dyDescent="0.3">
      <c r="A506" t="s">
        <v>737</v>
      </c>
      <c r="B506" s="1">
        <v>45955</v>
      </c>
      <c r="C506" t="s">
        <v>201</v>
      </c>
      <c r="D506" t="s">
        <v>152</v>
      </c>
      <c r="E506" t="s">
        <v>153</v>
      </c>
      <c r="F506" t="s">
        <v>20</v>
      </c>
      <c r="G506" t="s">
        <v>21</v>
      </c>
      <c r="H506" t="s">
        <v>179</v>
      </c>
      <c r="I506" t="s">
        <v>180</v>
      </c>
      <c r="J506" s="2">
        <v>4800</v>
      </c>
      <c r="K506">
        <v>2</v>
      </c>
      <c r="L506" s="2">
        <v>0</v>
      </c>
      <c r="M506" s="2">
        <v>485.91</v>
      </c>
      <c r="N506" t="s">
        <v>64</v>
      </c>
      <c r="O506" t="s">
        <v>65</v>
      </c>
      <c r="P506" t="s">
        <v>47</v>
      </c>
    </row>
    <row r="507" spans="1:16" x14ac:dyDescent="0.3">
      <c r="A507" t="s">
        <v>809</v>
      </c>
      <c r="B507" s="1">
        <v>46000</v>
      </c>
      <c r="C507" t="s">
        <v>274</v>
      </c>
      <c r="D507" t="s">
        <v>29</v>
      </c>
      <c r="E507" t="s">
        <v>30</v>
      </c>
      <c r="F507" t="s">
        <v>31</v>
      </c>
      <c r="G507" t="s">
        <v>76</v>
      </c>
      <c r="H507" t="s">
        <v>77</v>
      </c>
      <c r="I507" t="s">
        <v>171</v>
      </c>
      <c r="J507" s="2">
        <v>4080</v>
      </c>
      <c r="K507">
        <v>3</v>
      </c>
      <c r="L507" s="2">
        <v>0.15</v>
      </c>
      <c r="M507" s="2">
        <v>598.08000000000004</v>
      </c>
      <c r="N507" t="s">
        <v>64</v>
      </c>
      <c r="O507" t="s">
        <v>105</v>
      </c>
      <c r="P507" t="s">
        <v>47</v>
      </c>
    </row>
    <row r="508" spans="1:16" x14ac:dyDescent="0.3">
      <c r="A508" t="s">
        <v>905</v>
      </c>
      <c r="B508" s="1">
        <v>46059</v>
      </c>
      <c r="C508" t="s">
        <v>441</v>
      </c>
      <c r="D508" t="s">
        <v>166</v>
      </c>
      <c r="E508" t="s">
        <v>75</v>
      </c>
      <c r="F508" t="s">
        <v>20</v>
      </c>
      <c r="G508" t="s">
        <v>61</v>
      </c>
      <c r="H508" t="s">
        <v>62</v>
      </c>
      <c r="I508" t="s">
        <v>63</v>
      </c>
      <c r="J508" s="2">
        <v>1620</v>
      </c>
      <c r="K508">
        <v>2</v>
      </c>
      <c r="L508" s="2">
        <v>0.1</v>
      </c>
      <c r="M508" s="2">
        <v>394.79</v>
      </c>
      <c r="N508" t="s">
        <v>114</v>
      </c>
      <c r="O508" t="s">
        <v>105</v>
      </c>
      <c r="P508" t="s">
        <v>47</v>
      </c>
    </row>
    <row r="509" spans="1:16" x14ac:dyDescent="0.3">
      <c r="A509" t="s">
        <v>1220</v>
      </c>
      <c r="B509" s="1">
        <v>46258</v>
      </c>
      <c r="C509" t="s">
        <v>236</v>
      </c>
      <c r="D509" t="s">
        <v>152</v>
      </c>
      <c r="E509" t="s">
        <v>153</v>
      </c>
      <c r="F509" t="s">
        <v>20</v>
      </c>
      <c r="G509" t="s">
        <v>42</v>
      </c>
      <c r="H509" t="s">
        <v>43</v>
      </c>
      <c r="I509" t="s">
        <v>44</v>
      </c>
      <c r="J509" s="2">
        <v>13600</v>
      </c>
      <c r="K509">
        <v>2</v>
      </c>
      <c r="L509" s="2">
        <v>0.2</v>
      </c>
      <c r="M509" s="2">
        <v>3141.58</v>
      </c>
      <c r="N509" t="s">
        <v>45</v>
      </c>
      <c r="O509" t="s">
        <v>71</v>
      </c>
      <c r="P509" t="s">
        <v>26</v>
      </c>
    </row>
    <row r="510" spans="1:16" x14ac:dyDescent="0.3">
      <c r="A510" t="s">
        <v>1120</v>
      </c>
      <c r="B510" s="1">
        <v>46187</v>
      </c>
      <c r="C510" t="s">
        <v>1039</v>
      </c>
      <c r="D510" t="s">
        <v>173</v>
      </c>
      <c r="E510" t="s">
        <v>174</v>
      </c>
      <c r="F510" t="s">
        <v>60</v>
      </c>
      <c r="G510" t="s">
        <v>21</v>
      </c>
      <c r="H510" t="s">
        <v>179</v>
      </c>
      <c r="I510" t="s">
        <v>180</v>
      </c>
      <c r="J510" s="2">
        <v>6840</v>
      </c>
      <c r="K510">
        <v>3</v>
      </c>
      <c r="L510" s="2">
        <v>0.05</v>
      </c>
      <c r="M510" s="2">
        <v>933.56</v>
      </c>
      <c r="N510" t="s">
        <v>35</v>
      </c>
      <c r="O510" t="s">
        <v>79</v>
      </c>
      <c r="P510" t="s">
        <v>26</v>
      </c>
    </row>
    <row r="511" spans="1:16" x14ac:dyDescent="0.3">
      <c r="A511" t="s">
        <v>367</v>
      </c>
      <c r="B511" s="1">
        <v>45765</v>
      </c>
      <c r="C511" t="s">
        <v>118</v>
      </c>
      <c r="D511" t="s">
        <v>74</v>
      </c>
      <c r="E511" t="s">
        <v>75</v>
      </c>
      <c r="F511" t="s">
        <v>20</v>
      </c>
      <c r="G511" t="s">
        <v>32</v>
      </c>
      <c r="H511" t="s">
        <v>92</v>
      </c>
      <c r="I511" t="s">
        <v>93</v>
      </c>
      <c r="J511" s="2">
        <v>34500</v>
      </c>
      <c r="K511">
        <v>3</v>
      </c>
      <c r="L511" s="2">
        <v>0</v>
      </c>
      <c r="M511" s="2">
        <v>7947.22</v>
      </c>
      <c r="N511" t="s">
        <v>114</v>
      </c>
      <c r="O511" t="s">
        <v>79</v>
      </c>
      <c r="P511" t="s">
        <v>47</v>
      </c>
    </row>
    <row r="512" spans="1:16" x14ac:dyDescent="0.3">
      <c r="A512" t="s">
        <v>526</v>
      </c>
      <c r="B512" s="1">
        <v>45845</v>
      </c>
      <c r="C512" t="s">
        <v>17</v>
      </c>
      <c r="D512" t="s">
        <v>96</v>
      </c>
      <c r="E512" t="s">
        <v>97</v>
      </c>
      <c r="F512" t="s">
        <v>20</v>
      </c>
      <c r="G512" t="s">
        <v>42</v>
      </c>
      <c r="H512" t="s">
        <v>53</v>
      </c>
      <c r="I512" t="s">
        <v>54</v>
      </c>
      <c r="J512" s="2">
        <v>3240</v>
      </c>
      <c r="K512">
        <v>2</v>
      </c>
      <c r="L512" s="2">
        <v>0.1</v>
      </c>
      <c r="M512" s="2">
        <v>305.87</v>
      </c>
      <c r="N512" t="s">
        <v>114</v>
      </c>
      <c r="O512" t="s">
        <v>105</v>
      </c>
      <c r="P512" t="s">
        <v>55</v>
      </c>
    </row>
    <row r="513" spans="1:16" x14ac:dyDescent="0.3">
      <c r="A513" t="s">
        <v>183</v>
      </c>
      <c r="B513" s="1">
        <v>45697</v>
      </c>
      <c r="C513" t="s">
        <v>184</v>
      </c>
      <c r="D513" t="s">
        <v>58</v>
      </c>
      <c r="E513" t="s">
        <v>59</v>
      </c>
      <c r="F513" t="s">
        <v>60</v>
      </c>
      <c r="G513" t="s">
        <v>42</v>
      </c>
      <c r="H513" t="s">
        <v>53</v>
      </c>
      <c r="I513" t="s">
        <v>120</v>
      </c>
      <c r="J513" s="2">
        <v>19950</v>
      </c>
      <c r="K513">
        <v>5</v>
      </c>
      <c r="L513" s="2">
        <v>0.05</v>
      </c>
      <c r="M513" s="2">
        <v>4870.05</v>
      </c>
      <c r="N513" t="s">
        <v>24</v>
      </c>
      <c r="O513" t="s">
        <v>105</v>
      </c>
      <c r="P513" t="s">
        <v>47</v>
      </c>
    </row>
    <row r="514" spans="1:16" x14ac:dyDescent="0.3">
      <c r="A514" t="s">
        <v>630</v>
      </c>
      <c r="B514" s="1">
        <v>45894</v>
      </c>
      <c r="C514" t="s">
        <v>333</v>
      </c>
      <c r="D514" t="s">
        <v>119</v>
      </c>
      <c r="E514" t="s">
        <v>75</v>
      </c>
      <c r="F514" t="s">
        <v>20</v>
      </c>
      <c r="G514" t="s">
        <v>61</v>
      </c>
      <c r="H514" t="s">
        <v>98</v>
      </c>
      <c r="I514" t="s">
        <v>99</v>
      </c>
      <c r="J514" s="2">
        <v>51000</v>
      </c>
      <c r="K514">
        <v>2</v>
      </c>
      <c r="L514" s="2">
        <v>0.15</v>
      </c>
      <c r="M514" s="2">
        <v>13507.25</v>
      </c>
      <c r="N514" t="s">
        <v>45</v>
      </c>
      <c r="O514" t="s">
        <v>46</v>
      </c>
      <c r="P514" t="s">
        <v>26</v>
      </c>
    </row>
    <row r="515" spans="1:16" x14ac:dyDescent="0.3">
      <c r="A515" t="s">
        <v>920</v>
      </c>
      <c r="B515" s="1">
        <v>46066</v>
      </c>
      <c r="C515" t="s">
        <v>719</v>
      </c>
      <c r="D515" t="s">
        <v>152</v>
      </c>
      <c r="E515" t="s">
        <v>153</v>
      </c>
      <c r="F515" t="s">
        <v>20</v>
      </c>
      <c r="G515" t="s">
        <v>76</v>
      </c>
      <c r="H515" t="s">
        <v>122</v>
      </c>
      <c r="I515" t="s">
        <v>217</v>
      </c>
      <c r="J515" s="2">
        <v>7200</v>
      </c>
      <c r="K515">
        <v>5</v>
      </c>
      <c r="L515" s="2">
        <v>0.2</v>
      </c>
      <c r="M515" s="2">
        <v>1595.16</v>
      </c>
      <c r="N515" t="s">
        <v>35</v>
      </c>
      <c r="O515" t="s">
        <v>105</v>
      </c>
      <c r="P515" t="s">
        <v>26</v>
      </c>
    </row>
    <row r="516" spans="1:16" x14ac:dyDescent="0.3">
      <c r="A516" t="s">
        <v>1036</v>
      </c>
      <c r="B516" s="1">
        <v>46139</v>
      </c>
      <c r="C516" t="s">
        <v>265</v>
      </c>
      <c r="D516" t="s">
        <v>68</v>
      </c>
      <c r="E516" t="s">
        <v>69</v>
      </c>
      <c r="F516" t="s">
        <v>41</v>
      </c>
      <c r="G516" t="s">
        <v>21</v>
      </c>
      <c r="H516" t="s">
        <v>22</v>
      </c>
      <c r="I516" t="s">
        <v>23</v>
      </c>
      <c r="J516" s="2">
        <v>2430</v>
      </c>
      <c r="K516">
        <v>6</v>
      </c>
      <c r="L516" s="2">
        <v>0.1</v>
      </c>
      <c r="M516" s="2">
        <v>481.21</v>
      </c>
      <c r="N516" t="s">
        <v>114</v>
      </c>
      <c r="O516" t="s">
        <v>46</v>
      </c>
      <c r="P516" t="s">
        <v>47</v>
      </c>
    </row>
    <row r="517" spans="1:16" x14ac:dyDescent="0.3">
      <c r="A517" t="s">
        <v>1176</v>
      </c>
      <c r="B517" s="1">
        <v>46225</v>
      </c>
      <c r="C517" t="s">
        <v>871</v>
      </c>
      <c r="D517" t="s">
        <v>39</v>
      </c>
      <c r="E517" t="s">
        <v>40</v>
      </c>
      <c r="F517" t="s">
        <v>41</v>
      </c>
      <c r="G517" t="s">
        <v>42</v>
      </c>
      <c r="H517" t="s">
        <v>53</v>
      </c>
      <c r="I517" t="s">
        <v>54</v>
      </c>
      <c r="J517" s="2">
        <v>4590</v>
      </c>
      <c r="K517">
        <v>3</v>
      </c>
      <c r="L517" s="2">
        <v>0.15</v>
      </c>
      <c r="M517" s="2">
        <v>562.88</v>
      </c>
      <c r="N517" t="s">
        <v>114</v>
      </c>
      <c r="O517" t="s">
        <v>135</v>
      </c>
      <c r="P517" t="s">
        <v>47</v>
      </c>
    </row>
    <row r="518" spans="1:16" x14ac:dyDescent="0.3">
      <c r="A518" t="s">
        <v>48</v>
      </c>
      <c r="B518" s="1">
        <v>45661</v>
      </c>
      <c r="C518" t="s">
        <v>49</v>
      </c>
      <c r="D518" t="s">
        <v>50</v>
      </c>
      <c r="E518" t="s">
        <v>51</v>
      </c>
      <c r="F518" t="s">
        <v>52</v>
      </c>
      <c r="G518" t="s">
        <v>42</v>
      </c>
      <c r="H518" t="s">
        <v>53</v>
      </c>
      <c r="I518" t="s">
        <v>54</v>
      </c>
      <c r="J518" s="2">
        <v>8550</v>
      </c>
      <c r="K518">
        <v>5</v>
      </c>
      <c r="L518" s="2">
        <v>0.05</v>
      </c>
      <c r="M518" s="2">
        <v>1068.19</v>
      </c>
      <c r="N518" t="s">
        <v>24</v>
      </c>
      <c r="O518" t="s">
        <v>36</v>
      </c>
      <c r="P518" t="s">
        <v>55</v>
      </c>
    </row>
    <row r="519" spans="1:16" x14ac:dyDescent="0.3">
      <c r="A519" t="s">
        <v>1089</v>
      </c>
      <c r="B519" s="1">
        <v>46167</v>
      </c>
      <c r="C519" t="s">
        <v>1059</v>
      </c>
      <c r="D519" t="s">
        <v>68</v>
      </c>
      <c r="E519" t="s">
        <v>69</v>
      </c>
      <c r="F519" t="s">
        <v>41</v>
      </c>
      <c r="G519" t="s">
        <v>61</v>
      </c>
      <c r="H519" t="s">
        <v>62</v>
      </c>
      <c r="I519" t="s">
        <v>63</v>
      </c>
      <c r="J519" s="2">
        <v>2430</v>
      </c>
      <c r="K519">
        <v>3</v>
      </c>
      <c r="L519" s="2">
        <v>0.1</v>
      </c>
      <c r="M519" s="2">
        <v>577.59</v>
      </c>
      <c r="N519" t="s">
        <v>24</v>
      </c>
      <c r="O519" t="s">
        <v>36</v>
      </c>
      <c r="P519" t="s">
        <v>55</v>
      </c>
    </row>
    <row r="520" spans="1:16" x14ac:dyDescent="0.3">
      <c r="A520" t="s">
        <v>1093</v>
      </c>
      <c r="B520" s="1">
        <v>46170</v>
      </c>
      <c r="C520" t="s">
        <v>81</v>
      </c>
      <c r="D520" t="s">
        <v>39</v>
      </c>
      <c r="E520" t="s">
        <v>40</v>
      </c>
      <c r="F520" t="s">
        <v>41</v>
      </c>
      <c r="G520" t="s">
        <v>61</v>
      </c>
      <c r="H520" t="s">
        <v>98</v>
      </c>
      <c r="I520" t="s">
        <v>99</v>
      </c>
      <c r="J520" s="2">
        <v>51000</v>
      </c>
      <c r="K520">
        <v>2</v>
      </c>
      <c r="L520" s="2">
        <v>0.15</v>
      </c>
      <c r="M520" s="2">
        <v>5826.17</v>
      </c>
      <c r="N520" t="s">
        <v>64</v>
      </c>
      <c r="O520" t="s">
        <v>86</v>
      </c>
      <c r="P520" t="s">
        <v>55</v>
      </c>
    </row>
    <row r="521" spans="1:16" x14ac:dyDescent="0.3">
      <c r="A521" t="s">
        <v>953</v>
      </c>
      <c r="B521" s="1">
        <v>46090</v>
      </c>
      <c r="C521" t="s">
        <v>178</v>
      </c>
      <c r="D521" t="s">
        <v>173</v>
      </c>
      <c r="E521" t="s">
        <v>174</v>
      </c>
      <c r="F521" t="s">
        <v>60</v>
      </c>
      <c r="G521" t="s">
        <v>76</v>
      </c>
      <c r="H521" t="s">
        <v>77</v>
      </c>
      <c r="I521" t="s">
        <v>78</v>
      </c>
      <c r="J521" s="2">
        <v>4320</v>
      </c>
      <c r="K521">
        <v>2</v>
      </c>
      <c r="L521" s="2">
        <v>0.1</v>
      </c>
      <c r="M521" s="2">
        <v>880.22</v>
      </c>
      <c r="N521" t="s">
        <v>35</v>
      </c>
      <c r="O521" t="s">
        <v>25</v>
      </c>
      <c r="P521" t="s">
        <v>55</v>
      </c>
    </row>
    <row r="522" spans="1:16" x14ac:dyDescent="0.3">
      <c r="A522" t="s">
        <v>284</v>
      </c>
      <c r="B522" s="1">
        <v>45737</v>
      </c>
      <c r="C522" t="s">
        <v>285</v>
      </c>
      <c r="D522" t="s">
        <v>173</v>
      </c>
      <c r="E522" t="s">
        <v>174</v>
      </c>
      <c r="F522" t="s">
        <v>60</v>
      </c>
      <c r="G522" t="s">
        <v>61</v>
      </c>
      <c r="H522" t="s">
        <v>98</v>
      </c>
      <c r="I522" t="s">
        <v>156</v>
      </c>
      <c r="J522" s="2">
        <v>102600</v>
      </c>
      <c r="K522">
        <v>3</v>
      </c>
      <c r="L522" s="2">
        <v>0.1</v>
      </c>
      <c r="M522" s="2">
        <v>25630.86</v>
      </c>
      <c r="N522" t="s">
        <v>45</v>
      </c>
      <c r="O522" t="s">
        <v>65</v>
      </c>
      <c r="P522" t="s">
        <v>47</v>
      </c>
    </row>
    <row r="523" spans="1:16" x14ac:dyDescent="0.3">
      <c r="A523" t="s">
        <v>1264</v>
      </c>
      <c r="B523" s="1">
        <v>46293</v>
      </c>
      <c r="C523" t="s">
        <v>192</v>
      </c>
      <c r="D523" t="s">
        <v>68</v>
      </c>
      <c r="E523" t="s">
        <v>69</v>
      </c>
      <c r="F523" t="s">
        <v>41</v>
      </c>
      <c r="G523" t="s">
        <v>21</v>
      </c>
      <c r="H523" t="s">
        <v>179</v>
      </c>
      <c r="I523" t="s">
        <v>180</v>
      </c>
      <c r="J523" s="2">
        <v>12960</v>
      </c>
      <c r="K523">
        <v>6</v>
      </c>
      <c r="L523" s="2">
        <v>0.1</v>
      </c>
      <c r="M523" s="2">
        <v>3081.37</v>
      </c>
      <c r="N523" t="s">
        <v>114</v>
      </c>
      <c r="O523" t="s">
        <v>86</v>
      </c>
      <c r="P523" t="s">
        <v>55</v>
      </c>
    </row>
    <row r="524" spans="1:16" x14ac:dyDescent="0.3">
      <c r="A524" t="s">
        <v>459</v>
      </c>
      <c r="B524" s="1">
        <v>45802</v>
      </c>
      <c r="C524" t="s">
        <v>131</v>
      </c>
      <c r="D524" t="s">
        <v>68</v>
      </c>
      <c r="E524" t="s">
        <v>69</v>
      </c>
      <c r="F524" t="s">
        <v>41</v>
      </c>
      <c r="G524" t="s">
        <v>61</v>
      </c>
      <c r="H524" t="s">
        <v>62</v>
      </c>
      <c r="I524" t="s">
        <v>70</v>
      </c>
      <c r="J524" s="2">
        <v>9000</v>
      </c>
      <c r="K524">
        <v>5</v>
      </c>
      <c r="L524" s="2">
        <v>0</v>
      </c>
      <c r="M524" s="2">
        <v>2200.87</v>
      </c>
      <c r="N524" t="s">
        <v>114</v>
      </c>
      <c r="O524" t="s">
        <v>135</v>
      </c>
      <c r="P524" t="s">
        <v>47</v>
      </c>
    </row>
    <row r="525" spans="1:16" x14ac:dyDescent="0.3">
      <c r="A525" t="s">
        <v>87</v>
      </c>
      <c r="B525" s="1">
        <v>45664</v>
      </c>
      <c r="C525" t="s">
        <v>88</v>
      </c>
      <c r="D525" t="s">
        <v>39</v>
      </c>
      <c r="E525" t="s">
        <v>40</v>
      </c>
      <c r="F525" t="s">
        <v>41</v>
      </c>
      <c r="G525" t="s">
        <v>61</v>
      </c>
      <c r="H525" t="s">
        <v>62</v>
      </c>
      <c r="I525" t="s">
        <v>70</v>
      </c>
      <c r="J525" s="2">
        <v>6840</v>
      </c>
      <c r="K525">
        <v>4</v>
      </c>
      <c r="L525" s="2">
        <v>0.05</v>
      </c>
      <c r="M525" s="2">
        <v>1581.08</v>
      </c>
      <c r="N525" t="s">
        <v>24</v>
      </c>
      <c r="O525" t="s">
        <v>71</v>
      </c>
      <c r="P525" t="s">
        <v>47</v>
      </c>
    </row>
    <row r="526" spans="1:16" x14ac:dyDescent="0.3">
      <c r="A526" t="s">
        <v>822</v>
      </c>
      <c r="B526" s="1">
        <v>46015</v>
      </c>
      <c r="C526" t="s">
        <v>249</v>
      </c>
      <c r="D526" t="s">
        <v>104</v>
      </c>
      <c r="E526" t="s">
        <v>83</v>
      </c>
      <c r="F526" t="s">
        <v>52</v>
      </c>
      <c r="G526" t="s">
        <v>61</v>
      </c>
      <c r="H526" t="s">
        <v>128</v>
      </c>
      <c r="I526" t="s">
        <v>195</v>
      </c>
      <c r="J526" s="2">
        <v>58000</v>
      </c>
      <c r="K526">
        <v>1</v>
      </c>
      <c r="L526" s="2">
        <v>0</v>
      </c>
      <c r="M526" s="2">
        <v>14977.23</v>
      </c>
      <c r="N526" t="s">
        <v>64</v>
      </c>
      <c r="O526" t="s">
        <v>25</v>
      </c>
      <c r="P526" t="s">
        <v>55</v>
      </c>
    </row>
    <row r="527" spans="1:16" x14ac:dyDescent="0.3">
      <c r="A527" t="s">
        <v>1028</v>
      </c>
      <c r="B527" s="1">
        <v>46136</v>
      </c>
      <c r="C527" t="s">
        <v>702</v>
      </c>
      <c r="D527" t="s">
        <v>173</v>
      </c>
      <c r="E527" t="s">
        <v>174</v>
      </c>
      <c r="F527" t="s">
        <v>60</v>
      </c>
      <c r="G527" t="s">
        <v>61</v>
      </c>
      <c r="H527" t="s">
        <v>62</v>
      </c>
      <c r="I527" t="s">
        <v>63</v>
      </c>
      <c r="J527" s="2">
        <v>900</v>
      </c>
      <c r="K527">
        <v>1</v>
      </c>
      <c r="L527" s="2">
        <v>0</v>
      </c>
      <c r="M527" s="2">
        <v>211.41</v>
      </c>
      <c r="N527" t="s">
        <v>45</v>
      </c>
      <c r="O527" t="s">
        <v>135</v>
      </c>
      <c r="P527" t="s">
        <v>47</v>
      </c>
    </row>
    <row r="528" spans="1:16" x14ac:dyDescent="0.3">
      <c r="A528" t="s">
        <v>673</v>
      </c>
      <c r="B528" s="1">
        <v>45923</v>
      </c>
      <c r="C528" t="s">
        <v>95</v>
      </c>
      <c r="D528" t="s">
        <v>119</v>
      </c>
      <c r="E528" t="s">
        <v>75</v>
      </c>
      <c r="F528" t="s">
        <v>20</v>
      </c>
      <c r="G528" t="s">
        <v>61</v>
      </c>
      <c r="H528" t="s">
        <v>128</v>
      </c>
      <c r="I528" t="s">
        <v>129</v>
      </c>
      <c r="J528" s="2">
        <v>296400</v>
      </c>
      <c r="K528">
        <v>6</v>
      </c>
      <c r="L528" s="2">
        <v>0.05</v>
      </c>
      <c r="M528" s="2">
        <v>54011.07</v>
      </c>
      <c r="N528" t="s">
        <v>64</v>
      </c>
      <c r="O528" t="s">
        <v>46</v>
      </c>
      <c r="P528" t="s">
        <v>47</v>
      </c>
    </row>
    <row r="529" spans="1:16" x14ac:dyDescent="0.3">
      <c r="A529" t="s">
        <v>479</v>
      </c>
      <c r="B529" s="1">
        <v>45813</v>
      </c>
      <c r="C529" t="s">
        <v>480</v>
      </c>
      <c r="D529" t="s">
        <v>50</v>
      </c>
      <c r="E529" t="s">
        <v>51</v>
      </c>
      <c r="F529" t="s">
        <v>52</v>
      </c>
      <c r="G529" t="s">
        <v>21</v>
      </c>
      <c r="H529" t="s">
        <v>179</v>
      </c>
      <c r="I529" t="s">
        <v>180</v>
      </c>
      <c r="J529" s="2">
        <v>12960</v>
      </c>
      <c r="K529">
        <v>6</v>
      </c>
      <c r="L529" s="2">
        <v>0.1</v>
      </c>
      <c r="M529" s="2">
        <v>2109.6</v>
      </c>
      <c r="N529" t="s">
        <v>114</v>
      </c>
      <c r="O529" t="s">
        <v>71</v>
      </c>
      <c r="P529" t="s">
        <v>55</v>
      </c>
    </row>
    <row r="530" spans="1:16" x14ac:dyDescent="0.3">
      <c r="A530" t="s">
        <v>1153</v>
      </c>
      <c r="B530" s="1">
        <v>46209</v>
      </c>
      <c r="C530" t="s">
        <v>708</v>
      </c>
      <c r="D530" t="s">
        <v>82</v>
      </c>
      <c r="E530" t="s">
        <v>83</v>
      </c>
      <c r="F530" t="s">
        <v>52</v>
      </c>
      <c r="G530" t="s">
        <v>76</v>
      </c>
      <c r="H530" t="s">
        <v>77</v>
      </c>
      <c r="I530" t="s">
        <v>78</v>
      </c>
      <c r="J530" s="2">
        <v>1920</v>
      </c>
      <c r="K530">
        <v>1</v>
      </c>
      <c r="L530" s="2">
        <v>0.2</v>
      </c>
      <c r="M530" s="2">
        <v>133.29</v>
      </c>
      <c r="N530" t="s">
        <v>114</v>
      </c>
      <c r="O530" t="s">
        <v>79</v>
      </c>
      <c r="P530" t="s">
        <v>26</v>
      </c>
    </row>
    <row r="531" spans="1:16" x14ac:dyDescent="0.3">
      <c r="A531" t="s">
        <v>538</v>
      </c>
      <c r="B531" s="1">
        <v>45855</v>
      </c>
      <c r="C531" t="s">
        <v>249</v>
      </c>
      <c r="D531" t="s">
        <v>152</v>
      </c>
      <c r="E531" t="s">
        <v>153</v>
      </c>
      <c r="F531" t="s">
        <v>20</v>
      </c>
      <c r="G531" t="s">
        <v>61</v>
      </c>
      <c r="H531" t="s">
        <v>98</v>
      </c>
      <c r="I531" t="s">
        <v>99</v>
      </c>
      <c r="J531" s="2">
        <v>127500</v>
      </c>
      <c r="K531">
        <v>5</v>
      </c>
      <c r="L531" s="2">
        <v>0.15</v>
      </c>
      <c r="M531" s="2">
        <v>19922.14</v>
      </c>
      <c r="N531" t="s">
        <v>114</v>
      </c>
      <c r="O531" t="s">
        <v>25</v>
      </c>
      <c r="P531" t="s">
        <v>55</v>
      </c>
    </row>
    <row r="532" spans="1:16" x14ac:dyDescent="0.3">
      <c r="A532" t="s">
        <v>193</v>
      </c>
      <c r="B532" s="1">
        <v>45699</v>
      </c>
      <c r="C532" t="s">
        <v>194</v>
      </c>
      <c r="D532" t="s">
        <v>91</v>
      </c>
      <c r="E532" t="s">
        <v>91</v>
      </c>
      <c r="F532" t="s">
        <v>60</v>
      </c>
      <c r="G532" t="s">
        <v>61</v>
      </c>
      <c r="H532" t="s">
        <v>128</v>
      </c>
      <c r="I532" t="s">
        <v>195</v>
      </c>
      <c r="J532" s="2">
        <v>147900</v>
      </c>
      <c r="K532">
        <v>3</v>
      </c>
      <c r="L532" s="2">
        <v>0.15</v>
      </c>
      <c r="M532" s="2">
        <v>13065.99</v>
      </c>
      <c r="N532" t="s">
        <v>64</v>
      </c>
      <c r="O532" t="s">
        <v>71</v>
      </c>
      <c r="P532" t="s">
        <v>55</v>
      </c>
    </row>
    <row r="533" spans="1:16" x14ac:dyDescent="0.3">
      <c r="A533" t="s">
        <v>286</v>
      </c>
      <c r="B533" s="1">
        <v>45738</v>
      </c>
      <c r="C533" t="s">
        <v>287</v>
      </c>
      <c r="D533" t="s">
        <v>173</v>
      </c>
      <c r="E533" t="s">
        <v>174</v>
      </c>
      <c r="F533" t="s">
        <v>60</v>
      </c>
      <c r="G533" t="s">
        <v>42</v>
      </c>
      <c r="H533" t="s">
        <v>53</v>
      </c>
      <c r="I533" t="s">
        <v>120</v>
      </c>
      <c r="J533" s="2">
        <v>16800</v>
      </c>
      <c r="K533">
        <v>5</v>
      </c>
      <c r="L533" s="2">
        <v>0.2</v>
      </c>
      <c r="M533" s="2">
        <v>1961.2</v>
      </c>
      <c r="N533" t="s">
        <v>114</v>
      </c>
      <c r="O533" t="s">
        <v>65</v>
      </c>
      <c r="P533" t="s">
        <v>47</v>
      </c>
    </row>
    <row r="534" spans="1:16" x14ac:dyDescent="0.3">
      <c r="A534" t="s">
        <v>121</v>
      </c>
      <c r="B534" s="1">
        <v>45671</v>
      </c>
      <c r="C534" t="s">
        <v>113</v>
      </c>
      <c r="D534" t="s">
        <v>91</v>
      </c>
      <c r="E534" t="s">
        <v>91</v>
      </c>
      <c r="F534" t="s">
        <v>60</v>
      </c>
      <c r="G534" t="s">
        <v>76</v>
      </c>
      <c r="H534" t="s">
        <v>122</v>
      </c>
      <c r="I534" t="s">
        <v>123</v>
      </c>
      <c r="J534" s="2">
        <v>7920</v>
      </c>
      <c r="K534">
        <v>4</v>
      </c>
      <c r="L534" s="2">
        <v>0.1</v>
      </c>
      <c r="M534" s="2">
        <v>910.91</v>
      </c>
      <c r="N534" t="s">
        <v>35</v>
      </c>
      <c r="O534" t="s">
        <v>36</v>
      </c>
      <c r="P534" t="s">
        <v>55</v>
      </c>
    </row>
    <row r="535" spans="1:16" x14ac:dyDescent="0.3">
      <c r="A535" t="s">
        <v>652</v>
      </c>
      <c r="B535" s="1">
        <v>45909</v>
      </c>
      <c r="C535" t="s">
        <v>17</v>
      </c>
      <c r="D535" t="s">
        <v>68</v>
      </c>
      <c r="E535" t="s">
        <v>69</v>
      </c>
      <c r="F535" t="s">
        <v>41</v>
      </c>
      <c r="G535" t="s">
        <v>61</v>
      </c>
      <c r="H535" t="s">
        <v>62</v>
      </c>
      <c r="I535" t="s">
        <v>70</v>
      </c>
      <c r="J535" s="2">
        <v>5400</v>
      </c>
      <c r="K535">
        <v>3</v>
      </c>
      <c r="L535" s="2">
        <v>0</v>
      </c>
      <c r="M535" s="2">
        <v>847.28</v>
      </c>
      <c r="N535" t="s">
        <v>24</v>
      </c>
      <c r="O535" t="s">
        <v>86</v>
      </c>
      <c r="P535" t="s">
        <v>26</v>
      </c>
    </row>
    <row r="536" spans="1:16" x14ac:dyDescent="0.3">
      <c r="A536" t="s">
        <v>1275</v>
      </c>
      <c r="B536" s="1">
        <v>46298</v>
      </c>
      <c r="C536" t="s">
        <v>482</v>
      </c>
      <c r="D536" t="s">
        <v>74</v>
      </c>
      <c r="E536" t="s">
        <v>75</v>
      </c>
      <c r="F536" t="s">
        <v>20</v>
      </c>
      <c r="G536" t="s">
        <v>21</v>
      </c>
      <c r="H536" t="s">
        <v>179</v>
      </c>
      <c r="I536" t="s">
        <v>180</v>
      </c>
      <c r="J536" s="2">
        <v>10200</v>
      </c>
      <c r="K536">
        <v>5</v>
      </c>
      <c r="L536" s="2">
        <v>0.15</v>
      </c>
      <c r="M536" s="2">
        <v>1191.28</v>
      </c>
      <c r="N536" t="s">
        <v>45</v>
      </c>
      <c r="O536" t="s">
        <v>46</v>
      </c>
      <c r="P536" t="s">
        <v>47</v>
      </c>
    </row>
    <row r="537" spans="1:16" x14ac:dyDescent="0.3">
      <c r="A537" t="s">
        <v>293</v>
      </c>
      <c r="B537" s="1">
        <v>45739</v>
      </c>
      <c r="C537" t="s">
        <v>294</v>
      </c>
      <c r="D537" t="s">
        <v>166</v>
      </c>
      <c r="E537" t="s">
        <v>75</v>
      </c>
      <c r="F537" t="s">
        <v>20</v>
      </c>
      <c r="G537" t="s">
        <v>42</v>
      </c>
      <c r="H537" t="s">
        <v>279</v>
      </c>
      <c r="I537" t="s">
        <v>280</v>
      </c>
      <c r="J537" s="2">
        <v>33750</v>
      </c>
      <c r="K537">
        <v>3</v>
      </c>
      <c r="L537" s="2">
        <v>0.1</v>
      </c>
      <c r="M537" s="2">
        <v>6653.61</v>
      </c>
      <c r="N537" t="s">
        <v>35</v>
      </c>
      <c r="O537" t="s">
        <v>46</v>
      </c>
      <c r="P537" t="s">
        <v>47</v>
      </c>
    </row>
    <row r="538" spans="1:16" x14ac:dyDescent="0.3">
      <c r="A538" t="s">
        <v>1142</v>
      </c>
      <c r="B538" s="1">
        <v>46204</v>
      </c>
      <c r="C538" t="s">
        <v>131</v>
      </c>
      <c r="D538" t="s">
        <v>68</v>
      </c>
      <c r="E538" t="s">
        <v>69</v>
      </c>
      <c r="F538" t="s">
        <v>41</v>
      </c>
      <c r="G538" t="s">
        <v>21</v>
      </c>
      <c r="H538" t="s">
        <v>179</v>
      </c>
      <c r="I538" t="s">
        <v>180</v>
      </c>
      <c r="J538" s="2">
        <v>2040</v>
      </c>
      <c r="K538">
        <v>1</v>
      </c>
      <c r="L538" s="2">
        <v>0.15</v>
      </c>
      <c r="M538" s="2">
        <v>217.87</v>
      </c>
      <c r="N538" t="s">
        <v>24</v>
      </c>
      <c r="O538" t="s">
        <v>65</v>
      </c>
      <c r="P538" t="s">
        <v>55</v>
      </c>
    </row>
    <row r="539" spans="1:16" x14ac:dyDescent="0.3">
      <c r="A539" t="s">
        <v>910</v>
      </c>
      <c r="B539" s="1">
        <v>46061</v>
      </c>
      <c r="C539" t="s">
        <v>253</v>
      </c>
      <c r="D539" t="s">
        <v>134</v>
      </c>
      <c r="E539" t="s">
        <v>75</v>
      </c>
      <c r="F539" t="s">
        <v>20</v>
      </c>
      <c r="G539" t="s">
        <v>32</v>
      </c>
      <c r="H539" t="s">
        <v>84</v>
      </c>
      <c r="I539" t="s">
        <v>85</v>
      </c>
      <c r="J539" s="2">
        <v>50000</v>
      </c>
      <c r="K539">
        <v>4</v>
      </c>
      <c r="L539" s="2">
        <v>0</v>
      </c>
      <c r="M539" s="2">
        <v>5730.24</v>
      </c>
      <c r="N539" t="s">
        <v>24</v>
      </c>
      <c r="O539" t="s">
        <v>86</v>
      </c>
      <c r="P539" t="s">
        <v>26</v>
      </c>
    </row>
    <row r="540" spans="1:16" x14ac:dyDescent="0.3">
      <c r="A540" t="s">
        <v>863</v>
      </c>
      <c r="B540" s="1">
        <v>46037</v>
      </c>
      <c r="C540" t="s">
        <v>864</v>
      </c>
      <c r="D540" t="s">
        <v>119</v>
      </c>
      <c r="E540" t="s">
        <v>75</v>
      </c>
      <c r="F540" t="s">
        <v>20</v>
      </c>
      <c r="G540" t="s">
        <v>42</v>
      </c>
      <c r="H540" t="s">
        <v>43</v>
      </c>
      <c r="I540" t="s">
        <v>44</v>
      </c>
      <c r="J540" s="2">
        <v>28900</v>
      </c>
      <c r="K540">
        <v>4</v>
      </c>
      <c r="L540" s="2">
        <v>0.15</v>
      </c>
      <c r="M540" s="2">
        <v>6202.81</v>
      </c>
      <c r="N540" t="s">
        <v>35</v>
      </c>
      <c r="O540" t="s">
        <v>71</v>
      </c>
      <c r="P540" t="s">
        <v>47</v>
      </c>
    </row>
    <row r="541" spans="1:16" x14ac:dyDescent="0.3">
      <c r="A541" t="s">
        <v>653</v>
      </c>
      <c r="B541" s="1">
        <v>45909</v>
      </c>
      <c r="C541" t="s">
        <v>421</v>
      </c>
      <c r="D541" t="s">
        <v>96</v>
      </c>
      <c r="E541" t="s">
        <v>97</v>
      </c>
      <c r="F541" t="s">
        <v>20</v>
      </c>
      <c r="G541" t="s">
        <v>21</v>
      </c>
      <c r="H541" t="s">
        <v>22</v>
      </c>
      <c r="I541" t="s">
        <v>111</v>
      </c>
      <c r="J541" s="2">
        <v>285</v>
      </c>
      <c r="K541">
        <v>1</v>
      </c>
      <c r="L541" s="2">
        <v>0.05</v>
      </c>
      <c r="M541" s="2">
        <v>59.9</v>
      </c>
      <c r="N541" t="s">
        <v>35</v>
      </c>
      <c r="O541" t="s">
        <v>79</v>
      </c>
      <c r="P541" t="s">
        <v>47</v>
      </c>
    </row>
    <row r="542" spans="1:16" x14ac:dyDescent="0.3">
      <c r="A542" t="s">
        <v>821</v>
      </c>
      <c r="B542" s="1">
        <v>46014</v>
      </c>
      <c r="C542" t="s">
        <v>484</v>
      </c>
      <c r="D542" t="s">
        <v>82</v>
      </c>
      <c r="E542" t="s">
        <v>83</v>
      </c>
      <c r="F542" t="s">
        <v>52</v>
      </c>
      <c r="G542" t="s">
        <v>76</v>
      </c>
      <c r="H542" t="s">
        <v>77</v>
      </c>
      <c r="I542" t="s">
        <v>78</v>
      </c>
      <c r="J542" s="2">
        <v>13680</v>
      </c>
      <c r="K542">
        <v>6</v>
      </c>
      <c r="L542" s="2">
        <v>0.05</v>
      </c>
      <c r="M542" s="2">
        <v>2884.62</v>
      </c>
      <c r="N542" t="s">
        <v>45</v>
      </c>
      <c r="O542" t="s">
        <v>79</v>
      </c>
      <c r="P542" t="s">
        <v>47</v>
      </c>
    </row>
    <row r="543" spans="1:16" x14ac:dyDescent="0.3">
      <c r="A543" t="s">
        <v>56</v>
      </c>
      <c r="B543" s="1">
        <v>45661</v>
      </c>
      <c r="C543" t="s">
        <v>57</v>
      </c>
      <c r="D543" t="s">
        <v>58</v>
      </c>
      <c r="E543" t="s">
        <v>59</v>
      </c>
      <c r="F543" t="s">
        <v>60</v>
      </c>
      <c r="G543" t="s">
        <v>61</v>
      </c>
      <c r="H543" t="s">
        <v>62</v>
      </c>
      <c r="I543" t="s">
        <v>63</v>
      </c>
      <c r="J543" s="2">
        <v>3240</v>
      </c>
      <c r="K543">
        <v>4</v>
      </c>
      <c r="L543" s="2">
        <v>0.1</v>
      </c>
      <c r="M543" s="2">
        <v>377.39</v>
      </c>
      <c r="N543" t="s">
        <v>64</v>
      </c>
      <c r="O543" t="s">
        <v>65</v>
      </c>
      <c r="P543" t="s">
        <v>47</v>
      </c>
    </row>
    <row r="544" spans="1:16" x14ac:dyDescent="0.3">
      <c r="A544" t="s">
        <v>1099</v>
      </c>
      <c r="B544" s="1">
        <v>46173</v>
      </c>
      <c r="C544" t="s">
        <v>435</v>
      </c>
      <c r="D544" t="s">
        <v>74</v>
      </c>
      <c r="E544" t="s">
        <v>75</v>
      </c>
      <c r="F544" t="s">
        <v>20</v>
      </c>
      <c r="G544" t="s">
        <v>32</v>
      </c>
      <c r="H544" t="s">
        <v>92</v>
      </c>
      <c r="I544" t="s">
        <v>93</v>
      </c>
      <c r="J544" s="2">
        <v>10925</v>
      </c>
      <c r="K544">
        <v>1</v>
      </c>
      <c r="L544" s="2">
        <v>0.05</v>
      </c>
      <c r="M544" s="2">
        <v>1626.53</v>
      </c>
      <c r="N544" t="s">
        <v>24</v>
      </c>
      <c r="O544" t="s">
        <v>36</v>
      </c>
      <c r="P544" t="s">
        <v>26</v>
      </c>
    </row>
    <row r="545" spans="1:16" x14ac:dyDescent="0.3">
      <c r="A545" t="s">
        <v>449</v>
      </c>
      <c r="B545" s="1">
        <v>45798</v>
      </c>
      <c r="C545" t="s">
        <v>103</v>
      </c>
      <c r="D545" t="s">
        <v>18</v>
      </c>
      <c r="E545" t="s">
        <v>19</v>
      </c>
      <c r="F545" t="s">
        <v>20</v>
      </c>
      <c r="G545" t="s">
        <v>42</v>
      </c>
      <c r="H545" t="s">
        <v>43</v>
      </c>
      <c r="I545" t="s">
        <v>44</v>
      </c>
      <c r="J545" s="2">
        <v>32300</v>
      </c>
      <c r="K545">
        <v>4</v>
      </c>
      <c r="L545" s="2">
        <v>0.05</v>
      </c>
      <c r="M545" s="2">
        <v>2973.68</v>
      </c>
      <c r="N545" t="s">
        <v>24</v>
      </c>
      <c r="O545" t="s">
        <v>86</v>
      </c>
      <c r="P545" t="s">
        <v>26</v>
      </c>
    </row>
    <row r="546" spans="1:16" x14ac:dyDescent="0.3">
      <c r="A546" t="s">
        <v>1018</v>
      </c>
      <c r="B546" s="1">
        <v>46131</v>
      </c>
      <c r="C546" t="s">
        <v>900</v>
      </c>
      <c r="D546" t="s">
        <v>74</v>
      </c>
      <c r="E546" t="s">
        <v>75</v>
      </c>
      <c r="F546" t="s">
        <v>20</v>
      </c>
      <c r="G546" t="s">
        <v>21</v>
      </c>
      <c r="H546" t="s">
        <v>22</v>
      </c>
      <c r="I546" t="s">
        <v>111</v>
      </c>
      <c r="J546" s="2">
        <v>255</v>
      </c>
      <c r="K546">
        <v>1</v>
      </c>
      <c r="L546" s="2">
        <v>0.15</v>
      </c>
      <c r="M546" s="2">
        <v>29.33</v>
      </c>
      <c r="N546" t="s">
        <v>45</v>
      </c>
      <c r="O546" t="s">
        <v>135</v>
      </c>
      <c r="P546" t="s">
        <v>47</v>
      </c>
    </row>
    <row r="547" spans="1:16" x14ac:dyDescent="0.3">
      <c r="A547" t="s">
        <v>386</v>
      </c>
      <c r="B547" s="1">
        <v>45777</v>
      </c>
      <c r="C547" t="s">
        <v>387</v>
      </c>
      <c r="D547" t="s">
        <v>68</v>
      </c>
      <c r="E547" t="s">
        <v>69</v>
      </c>
      <c r="F547" t="s">
        <v>41</v>
      </c>
      <c r="G547" t="s">
        <v>42</v>
      </c>
      <c r="H547" t="s">
        <v>279</v>
      </c>
      <c r="I547" t="s">
        <v>280</v>
      </c>
      <c r="J547" s="2">
        <v>59375</v>
      </c>
      <c r="K547">
        <v>5</v>
      </c>
      <c r="L547" s="2">
        <v>0.05</v>
      </c>
      <c r="M547" s="2">
        <v>12285.59</v>
      </c>
      <c r="N547" t="s">
        <v>64</v>
      </c>
      <c r="O547" t="s">
        <v>86</v>
      </c>
      <c r="P547" t="s">
        <v>47</v>
      </c>
    </row>
    <row r="548" spans="1:16" x14ac:dyDescent="0.3">
      <c r="A548" t="s">
        <v>381</v>
      </c>
      <c r="B548" s="1">
        <v>45774</v>
      </c>
      <c r="C548" t="s">
        <v>155</v>
      </c>
      <c r="D548" t="s">
        <v>29</v>
      </c>
      <c r="E548" t="s">
        <v>30</v>
      </c>
      <c r="F548" t="s">
        <v>31</v>
      </c>
      <c r="G548" t="s">
        <v>21</v>
      </c>
      <c r="H548" t="s">
        <v>179</v>
      </c>
      <c r="I548" t="s">
        <v>180</v>
      </c>
      <c r="J548" s="2">
        <v>6840</v>
      </c>
      <c r="K548">
        <v>3</v>
      </c>
      <c r="L548" s="2">
        <v>0.05</v>
      </c>
      <c r="M548" s="2">
        <v>1214.4100000000001</v>
      </c>
      <c r="N548" t="s">
        <v>24</v>
      </c>
      <c r="O548" t="s">
        <v>71</v>
      </c>
      <c r="P548" t="s">
        <v>55</v>
      </c>
    </row>
    <row r="549" spans="1:16" x14ac:dyDescent="0.3">
      <c r="A549" t="s">
        <v>965</v>
      </c>
      <c r="B549" s="1">
        <v>46098</v>
      </c>
      <c r="C549" t="s">
        <v>329</v>
      </c>
      <c r="D549" t="s">
        <v>18</v>
      </c>
      <c r="E549" t="s">
        <v>19</v>
      </c>
      <c r="F549" t="s">
        <v>20</v>
      </c>
      <c r="G549" t="s">
        <v>61</v>
      </c>
      <c r="H549" t="s">
        <v>62</v>
      </c>
      <c r="I549" t="s">
        <v>63</v>
      </c>
      <c r="J549" s="2">
        <v>4275</v>
      </c>
      <c r="K549">
        <v>5</v>
      </c>
      <c r="L549" s="2">
        <v>0.05</v>
      </c>
      <c r="M549" s="2">
        <v>475.94</v>
      </c>
      <c r="N549" t="s">
        <v>64</v>
      </c>
      <c r="O549" t="s">
        <v>46</v>
      </c>
      <c r="P549" t="s">
        <v>55</v>
      </c>
    </row>
    <row r="550" spans="1:16" x14ac:dyDescent="0.3">
      <c r="A550" t="s">
        <v>572</v>
      </c>
      <c r="B550" s="1">
        <v>45871</v>
      </c>
      <c r="C550" t="s">
        <v>194</v>
      </c>
      <c r="D550" t="s">
        <v>119</v>
      </c>
      <c r="E550" t="s">
        <v>75</v>
      </c>
      <c r="F550" t="s">
        <v>20</v>
      </c>
      <c r="G550" t="s">
        <v>21</v>
      </c>
      <c r="H550" t="s">
        <v>22</v>
      </c>
      <c r="I550" t="s">
        <v>111</v>
      </c>
      <c r="J550" s="2">
        <v>1425</v>
      </c>
      <c r="K550">
        <v>5</v>
      </c>
      <c r="L550" s="2">
        <v>0.05</v>
      </c>
      <c r="M550" s="2">
        <v>285.3</v>
      </c>
      <c r="N550" t="s">
        <v>24</v>
      </c>
      <c r="O550" t="s">
        <v>25</v>
      </c>
      <c r="P550" t="s">
        <v>26</v>
      </c>
    </row>
    <row r="551" spans="1:16" x14ac:dyDescent="0.3">
      <c r="A551" t="s">
        <v>489</v>
      </c>
      <c r="B551" s="1">
        <v>45823</v>
      </c>
      <c r="C551" t="s">
        <v>490</v>
      </c>
      <c r="D551" t="s">
        <v>18</v>
      </c>
      <c r="E551" t="s">
        <v>19</v>
      </c>
      <c r="F551" t="s">
        <v>20</v>
      </c>
      <c r="G551" t="s">
        <v>21</v>
      </c>
      <c r="H551" t="s">
        <v>175</v>
      </c>
      <c r="I551" t="s">
        <v>176</v>
      </c>
      <c r="J551" s="2">
        <v>585</v>
      </c>
      <c r="K551">
        <v>1</v>
      </c>
      <c r="L551" s="2">
        <v>0.1</v>
      </c>
      <c r="M551" s="2">
        <v>105.53</v>
      </c>
      <c r="N551" t="s">
        <v>45</v>
      </c>
      <c r="O551" t="s">
        <v>108</v>
      </c>
      <c r="P551" t="s">
        <v>55</v>
      </c>
    </row>
    <row r="552" spans="1:16" x14ac:dyDescent="0.3">
      <c r="A552" t="s">
        <v>1229</v>
      </c>
      <c r="B552" s="1">
        <v>46267</v>
      </c>
      <c r="C552" t="s">
        <v>626</v>
      </c>
      <c r="D552" t="s">
        <v>58</v>
      </c>
      <c r="E552" t="s">
        <v>59</v>
      </c>
      <c r="F552" t="s">
        <v>60</v>
      </c>
      <c r="G552" t="s">
        <v>32</v>
      </c>
      <c r="H552" t="s">
        <v>84</v>
      </c>
      <c r="I552" t="s">
        <v>85</v>
      </c>
      <c r="J552" s="2">
        <v>23750</v>
      </c>
      <c r="K552">
        <v>2</v>
      </c>
      <c r="L552" s="2">
        <v>0.05</v>
      </c>
      <c r="M552" s="2">
        <v>2261.4299999999998</v>
      </c>
      <c r="N552" t="s">
        <v>114</v>
      </c>
      <c r="O552" t="s">
        <v>36</v>
      </c>
      <c r="P552" t="s">
        <v>55</v>
      </c>
    </row>
    <row r="553" spans="1:16" x14ac:dyDescent="0.3">
      <c r="A553" t="s">
        <v>1056</v>
      </c>
      <c r="B553" s="1">
        <v>46150</v>
      </c>
      <c r="C553" t="s">
        <v>81</v>
      </c>
      <c r="D553" t="s">
        <v>104</v>
      </c>
      <c r="E553" t="s">
        <v>83</v>
      </c>
      <c r="F553" t="s">
        <v>52</v>
      </c>
      <c r="G553" t="s">
        <v>21</v>
      </c>
      <c r="H553" t="s">
        <v>22</v>
      </c>
      <c r="I553" t="s">
        <v>23</v>
      </c>
      <c r="J553" s="2">
        <v>2025</v>
      </c>
      <c r="K553">
        <v>5</v>
      </c>
      <c r="L553" s="2">
        <v>0.1</v>
      </c>
      <c r="M553" s="2">
        <v>405.94</v>
      </c>
      <c r="N553" t="s">
        <v>114</v>
      </c>
      <c r="O553" t="s">
        <v>79</v>
      </c>
      <c r="P553" t="s">
        <v>26</v>
      </c>
    </row>
    <row r="554" spans="1:16" x14ac:dyDescent="0.3">
      <c r="A554" t="s">
        <v>517</v>
      </c>
      <c r="B554" s="1">
        <v>45839</v>
      </c>
      <c r="C554" t="s">
        <v>518</v>
      </c>
      <c r="D554" t="s">
        <v>152</v>
      </c>
      <c r="E554" t="s">
        <v>153</v>
      </c>
      <c r="F554" t="s">
        <v>20</v>
      </c>
      <c r="G554" t="s">
        <v>42</v>
      </c>
      <c r="H554" t="s">
        <v>53</v>
      </c>
      <c r="I554" t="s">
        <v>120</v>
      </c>
      <c r="J554" s="2">
        <v>7560</v>
      </c>
      <c r="K554">
        <v>2</v>
      </c>
      <c r="L554" s="2">
        <v>0.1</v>
      </c>
      <c r="M554" s="2">
        <v>1361.64</v>
      </c>
      <c r="N554" t="s">
        <v>24</v>
      </c>
      <c r="O554" t="s">
        <v>135</v>
      </c>
      <c r="P554" t="s">
        <v>26</v>
      </c>
    </row>
    <row r="555" spans="1:16" x14ac:dyDescent="0.3">
      <c r="A555" t="s">
        <v>352</v>
      </c>
      <c r="B555" s="1">
        <v>45759</v>
      </c>
      <c r="C555" t="s">
        <v>265</v>
      </c>
      <c r="D555" t="s">
        <v>134</v>
      </c>
      <c r="E555" t="s">
        <v>75</v>
      </c>
      <c r="F555" t="s">
        <v>20</v>
      </c>
      <c r="G555" t="s">
        <v>21</v>
      </c>
      <c r="H555" t="s">
        <v>22</v>
      </c>
      <c r="I555" t="s">
        <v>111</v>
      </c>
      <c r="J555" s="2">
        <v>600</v>
      </c>
      <c r="K555">
        <v>2</v>
      </c>
      <c r="L555" s="2">
        <v>0</v>
      </c>
      <c r="M555" s="2">
        <v>74.760000000000005</v>
      </c>
      <c r="N555" t="s">
        <v>45</v>
      </c>
      <c r="O555" t="s">
        <v>65</v>
      </c>
      <c r="P555" t="s">
        <v>55</v>
      </c>
    </row>
    <row r="556" spans="1:16" x14ac:dyDescent="0.3">
      <c r="A556" t="s">
        <v>196</v>
      </c>
      <c r="B556" s="1">
        <v>45700</v>
      </c>
      <c r="C556" t="s">
        <v>197</v>
      </c>
      <c r="D556" t="s">
        <v>96</v>
      </c>
      <c r="E556" t="s">
        <v>97</v>
      </c>
      <c r="F556" t="s">
        <v>20</v>
      </c>
      <c r="G556" t="s">
        <v>21</v>
      </c>
      <c r="H556" t="s">
        <v>22</v>
      </c>
      <c r="I556" t="s">
        <v>23</v>
      </c>
      <c r="J556" s="2">
        <v>1215</v>
      </c>
      <c r="K556">
        <v>3</v>
      </c>
      <c r="L556" s="2">
        <v>0.1</v>
      </c>
      <c r="M556" s="2">
        <v>143.78</v>
      </c>
      <c r="N556" t="s">
        <v>45</v>
      </c>
      <c r="O556" t="s">
        <v>135</v>
      </c>
      <c r="P556" t="s">
        <v>47</v>
      </c>
    </row>
    <row r="557" spans="1:16" x14ac:dyDescent="0.3">
      <c r="A557" t="s">
        <v>528</v>
      </c>
      <c r="B557" s="1">
        <v>45846</v>
      </c>
      <c r="C557" t="s">
        <v>344</v>
      </c>
      <c r="D557" t="s">
        <v>166</v>
      </c>
      <c r="E557" t="s">
        <v>75</v>
      </c>
      <c r="F557" t="s">
        <v>20</v>
      </c>
      <c r="G557" t="s">
        <v>61</v>
      </c>
      <c r="H557" t="s">
        <v>62</v>
      </c>
      <c r="I557" t="s">
        <v>63</v>
      </c>
      <c r="J557" s="2">
        <v>1800</v>
      </c>
      <c r="K557">
        <v>2</v>
      </c>
      <c r="L557" s="2">
        <v>0</v>
      </c>
      <c r="M557" s="2">
        <v>297.68</v>
      </c>
      <c r="N557" t="s">
        <v>24</v>
      </c>
      <c r="O557" t="s">
        <v>65</v>
      </c>
      <c r="P557" t="s">
        <v>47</v>
      </c>
    </row>
    <row r="558" spans="1:16" x14ac:dyDescent="0.3">
      <c r="A558" t="s">
        <v>811</v>
      </c>
      <c r="B558" s="1">
        <v>46003</v>
      </c>
      <c r="C558" t="s">
        <v>812</v>
      </c>
      <c r="D558" t="s">
        <v>104</v>
      </c>
      <c r="E558" t="s">
        <v>83</v>
      </c>
      <c r="F558" t="s">
        <v>52</v>
      </c>
      <c r="G558" t="s">
        <v>61</v>
      </c>
      <c r="H558" t="s">
        <v>62</v>
      </c>
      <c r="I558" t="s">
        <v>70</v>
      </c>
      <c r="J558" s="2">
        <v>1440</v>
      </c>
      <c r="K558">
        <v>1</v>
      </c>
      <c r="L558" s="2">
        <v>0.2</v>
      </c>
      <c r="M558" s="2">
        <v>267.88</v>
      </c>
      <c r="N558" t="s">
        <v>24</v>
      </c>
      <c r="O558" t="s">
        <v>108</v>
      </c>
      <c r="P558" t="s">
        <v>26</v>
      </c>
    </row>
    <row r="559" spans="1:16" x14ac:dyDescent="0.3">
      <c r="A559" t="s">
        <v>1114</v>
      </c>
      <c r="B559" s="1">
        <v>46182</v>
      </c>
      <c r="C559" t="s">
        <v>231</v>
      </c>
      <c r="D559" t="s">
        <v>173</v>
      </c>
      <c r="E559" t="s">
        <v>174</v>
      </c>
      <c r="F559" t="s">
        <v>60</v>
      </c>
      <c r="G559" t="s">
        <v>21</v>
      </c>
      <c r="H559" t="s">
        <v>175</v>
      </c>
      <c r="I559" t="s">
        <v>176</v>
      </c>
      <c r="J559" s="2">
        <v>650</v>
      </c>
      <c r="K559">
        <v>1</v>
      </c>
      <c r="L559" s="2">
        <v>0</v>
      </c>
      <c r="M559" s="2">
        <v>70.16</v>
      </c>
      <c r="N559" t="s">
        <v>45</v>
      </c>
      <c r="O559" t="s">
        <v>105</v>
      </c>
      <c r="P559" t="s">
        <v>47</v>
      </c>
    </row>
    <row r="560" spans="1:16" x14ac:dyDescent="0.3">
      <c r="A560" t="s">
        <v>988</v>
      </c>
      <c r="B560" s="1">
        <v>46113</v>
      </c>
      <c r="C560" t="s">
        <v>205</v>
      </c>
      <c r="D560" t="s">
        <v>82</v>
      </c>
      <c r="E560" t="s">
        <v>83</v>
      </c>
      <c r="F560" t="s">
        <v>52</v>
      </c>
      <c r="G560" t="s">
        <v>42</v>
      </c>
      <c r="H560" t="s">
        <v>53</v>
      </c>
      <c r="I560" t="s">
        <v>54</v>
      </c>
      <c r="J560" s="2">
        <v>3240</v>
      </c>
      <c r="K560">
        <v>2</v>
      </c>
      <c r="L560" s="2">
        <v>0.1</v>
      </c>
      <c r="M560" s="2">
        <v>301.54000000000002</v>
      </c>
      <c r="N560" t="s">
        <v>114</v>
      </c>
      <c r="O560" t="s">
        <v>46</v>
      </c>
      <c r="P560" t="s">
        <v>47</v>
      </c>
    </row>
    <row r="561" spans="1:16" x14ac:dyDescent="0.3">
      <c r="A561" t="s">
        <v>157</v>
      </c>
      <c r="B561" s="1">
        <v>45688</v>
      </c>
      <c r="C561" t="s">
        <v>158</v>
      </c>
      <c r="D561" t="s">
        <v>104</v>
      </c>
      <c r="E561" t="s">
        <v>83</v>
      </c>
      <c r="F561" t="s">
        <v>52</v>
      </c>
      <c r="G561" t="s">
        <v>61</v>
      </c>
      <c r="H561" t="s">
        <v>62</v>
      </c>
      <c r="I561" t="s">
        <v>70</v>
      </c>
      <c r="J561" s="2">
        <v>7650</v>
      </c>
      <c r="K561">
        <v>5</v>
      </c>
      <c r="L561" s="2">
        <v>0.15</v>
      </c>
      <c r="M561" s="2">
        <v>532.41999999999996</v>
      </c>
      <c r="N561" t="s">
        <v>114</v>
      </c>
      <c r="O561" t="s">
        <v>36</v>
      </c>
      <c r="P561" t="s">
        <v>55</v>
      </c>
    </row>
    <row r="562" spans="1:16" x14ac:dyDescent="0.3">
      <c r="A562" t="s">
        <v>803</v>
      </c>
      <c r="B562" s="1">
        <v>45999</v>
      </c>
      <c r="C562" t="s">
        <v>421</v>
      </c>
      <c r="D562" t="s">
        <v>173</v>
      </c>
      <c r="E562" t="s">
        <v>174</v>
      </c>
      <c r="F562" t="s">
        <v>60</v>
      </c>
      <c r="G562" t="s">
        <v>42</v>
      </c>
      <c r="H562" t="s">
        <v>53</v>
      </c>
      <c r="I562" t="s">
        <v>120</v>
      </c>
      <c r="J562" s="2">
        <v>25200</v>
      </c>
      <c r="K562">
        <v>6</v>
      </c>
      <c r="L562" s="2">
        <v>0</v>
      </c>
      <c r="M562" s="2">
        <v>2964.69</v>
      </c>
      <c r="N562" t="s">
        <v>64</v>
      </c>
      <c r="O562" t="s">
        <v>86</v>
      </c>
      <c r="P562" t="s">
        <v>26</v>
      </c>
    </row>
    <row r="563" spans="1:16" x14ac:dyDescent="0.3">
      <c r="A563" t="s">
        <v>651</v>
      </c>
      <c r="B563" s="1">
        <v>45906</v>
      </c>
      <c r="C563" t="s">
        <v>240</v>
      </c>
      <c r="D563" t="s">
        <v>29</v>
      </c>
      <c r="E563" t="s">
        <v>30</v>
      </c>
      <c r="F563" t="s">
        <v>31</v>
      </c>
      <c r="G563" t="s">
        <v>21</v>
      </c>
      <c r="H563" t="s">
        <v>175</v>
      </c>
      <c r="I563" t="s">
        <v>176</v>
      </c>
      <c r="J563" s="2">
        <v>3705</v>
      </c>
      <c r="K563">
        <v>6</v>
      </c>
      <c r="L563" s="2">
        <v>0.05</v>
      </c>
      <c r="M563" s="2">
        <v>1016.86</v>
      </c>
      <c r="N563" t="s">
        <v>114</v>
      </c>
      <c r="O563" t="s">
        <v>135</v>
      </c>
      <c r="P563" t="s">
        <v>26</v>
      </c>
    </row>
    <row r="564" spans="1:16" x14ac:dyDescent="0.3">
      <c r="A564" t="s">
        <v>714</v>
      </c>
      <c r="B564" s="1">
        <v>45940</v>
      </c>
      <c r="C564" t="s">
        <v>265</v>
      </c>
      <c r="D564" t="s">
        <v>50</v>
      </c>
      <c r="E564" t="s">
        <v>51</v>
      </c>
      <c r="F564" t="s">
        <v>52</v>
      </c>
      <c r="G564" t="s">
        <v>42</v>
      </c>
      <c r="H564" t="s">
        <v>279</v>
      </c>
      <c r="I564" t="s">
        <v>280</v>
      </c>
      <c r="J564" s="2">
        <v>56250</v>
      </c>
      <c r="K564">
        <v>5</v>
      </c>
      <c r="L564" s="2">
        <v>0.1</v>
      </c>
      <c r="M564" s="2">
        <v>6336.65</v>
      </c>
      <c r="N564" t="s">
        <v>64</v>
      </c>
      <c r="O564" t="s">
        <v>36</v>
      </c>
      <c r="P564" t="s">
        <v>26</v>
      </c>
    </row>
    <row r="565" spans="1:16" x14ac:dyDescent="0.3">
      <c r="A565" t="s">
        <v>1269</v>
      </c>
      <c r="B565" s="1">
        <v>46294</v>
      </c>
      <c r="C565" t="s">
        <v>270</v>
      </c>
      <c r="D565" t="s">
        <v>50</v>
      </c>
      <c r="E565" t="s">
        <v>51</v>
      </c>
      <c r="F565" t="s">
        <v>52</v>
      </c>
      <c r="G565" t="s">
        <v>76</v>
      </c>
      <c r="H565" t="s">
        <v>122</v>
      </c>
      <c r="I565" t="s">
        <v>217</v>
      </c>
      <c r="J565" s="2">
        <v>3600</v>
      </c>
      <c r="K565">
        <v>2</v>
      </c>
      <c r="L565" s="2">
        <v>0</v>
      </c>
      <c r="M565" s="2">
        <v>364.07</v>
      </c>
      <c r="N565" t="s">
        <v>35</v>
      </c>
      <c r="O565" t="s">
        <v>108</v>
      </c>
      <c r="P565" t="s">
        <v>47</v>
      </c>
    </row>
    <row r="566" spans="1:16" x14ac:dyDescent="0.3">
      <c r="A566" t="s">
        <v>1187</v>
      </c>
      <c r="B566" s="1">
        <v>46234</v>
      </c>
      <c r="C566" t="s">
        <v>375</v>
      </c>
      <c r="D566" t="s">
        <v>166</v>
      </c>
      <c r="E566" t="s">
        <v>75</v>
      </c>
      <c r="F566" t="s">
        <v>20</v>
      </c>
      <c r="G566" t="s">
        <v>42</v>
      </c>
      <c r="H566" t="s">
        <v>279</v>
      </c>
      <c r="I566" t="s">
        <v>280</v>
      </c>
      <c r="J566" s="2">
        <v>67500</v>
      </c>
      <c r="K566">
        <v>6</v>
      </c>
      <c r="L566" s="2">
        <v>0.1</v>
      </c>
      <c r="M566" s="2">
        <v>16355.87</v>
      </c>
      <c r="N566" t="s">
        <v>45</v>
      </c>
      <c r="O566" t="s">
        <v>25</v>
      </c>
      <c r="P566" t="s">
        <v>26</v>
      </c>
    </row>
    <row r="567" spans="1:16" x14ac:dyDescent="0.3">
      <c r="A567" t="s">
        <v>1055</v>
      </c>
      <c r="B567" s="1">
        <v>46149</v>
      </c>
      <c r="C567" t="s">
        <v>240</v>
      </c>
      <c r="D567" t="s">
        <v>134</v>
      </c>
      <c r="E567" t="s">
        <v>75</v>
      </c>
      <c r="F567" t="s">
        <v>20</v>
      </c>
      <c r="G567" t="s">
        <v>76</v>
      </c>
      <c r="H567" t="s">
        <v>77</v>
      </c>
      <c r="I567" t="s">
        <v>171</v>
      </c>
      <c r="J567" s="2">
        <v>4320</v>
      </c>
      <c r="K567">
        <v>3</v>
      </c>
      <c r="L567" s="2">
        <v>0.1</v>
      </c>
      <c r="M567" s="2">
        <v>465.8</v>
      </c>
      <c r="N567" t="s">
        <v>114</v>
      </c>
      <c r="O567" t="s">
        <v>25</v>
      </c>
      <c r="P567" t="s">
        <v>55</v>
      </c>
    </row>
    <row r="568" spans="1:16" x14ac:dyDescent="0.3">
      <c r="A568" t="s">
        <v>558</v>
      </c>
      <c r="B568" s="1">
        <v>45864</v>
      </c>
      <c r="C568" t="s">
        <v>377</v>
      </c>
      <c r="D568" t="s">
        <v>58</v>
      </c>
      <c r="E568" t="s">
        <v>59</v>
      </c>
      <c r="F568" t="s">
        <v>60</v>
      </c>
      <c r="G568" t="s">
        <v>42</v>
      </c>
      <c r="H568" t="s">
        <v>279</v>
      </c>
      <c r="I568" t="s">
        <v>280</v>
      </c>
      <c r="J568" s="2">
        <v>42500</v>
      </c>
      <c r="K568">
        <v>4</v>
      </c>
      <c r="L568" s="2">
        <v>0.15</v>
      </c>
      <c r="M568" s="2">
        <v>3915.69</v>
      </c>
      <c r="N568" t="s">
        <v>64</v>
      </c>
      <c r="O568" t="s">
        <v>71</v>
      </c>
      <c r="P568" t="s">
        <v>55</v>
      </c>
    </row>
    <row r="569" spans="1:16" x14ac:dyDescent="0.3">
      <c r="A569" t="s">
        <v>1037</v>
      </c>
      <c r="B569" s="1">
        <v>46139</v>
      </c>
      <c r="C569" t="s">
        <v>186</v>
      </c>
      <c r="D569" t="s">
        <v>119</v>
      </c>
      <c r="E569" t="s">
        <v>75</v>
      </c>
      <c r="F569" t="s">
        <v>20</v>
      </c>
      <c r="G569" t="s">
        <v>42</v>
      </c>
      <c r="H569" t="s">
        <v>43</v>
      </c>
      <c r="I569" t="s">
        <v>44</v>
      </c>
      <c r="J569" s="2">
        <v>32300</v>
      </c>
      <c r="K569">
        <v>4</v>
      </c>
      <c r="L569" s="2">
        <v>0.05</v>
      </c>
      <c r="M569" s="2">
        <v>4963.67</v>
      </c>
      <c r="N569" t="s">
        <v>35</v>
      </c>
      <c r="O569" t="s">
        <v>71</v>
      </c>
      <c r="P569" t="s">
        <v>55</v>
      </c>
    </row>
    <row r="570" spans="1:16" x14ac:dyDescent="0.3">
      <c r="A570" t="s">
        <v>1205</v>
      </c>
      <c r="B570" s="1">
        <v>46248</v>
      </c>
      <c r="C570" t="s">
        <v>1059</v>
      </c>
      <c r="D570" t="s">
        <v>152</v>
      </c>
      <c r="E570" t="s">
        <v>153</v>
      </c>
      <c r="F570" t="s">
        <v>20</v>
      </c>
      <c r="G570" t="s">
        <v>61</v>
      </c>
      <c r="H570" t="s">
        <v>98</v>
      </c>
      <c r="I570" t="s">
        <v>156</v>
      </c>
      <c r="J570" s="2">
        <v>144400</v>
      </c>
      <c r="K570">
        <v>4</v>
      </c>
      <c r="L570" s="2">
        <v>0.05</v>
      </c>
      <c r="M570" s="2">
        <v>36987.449999999997</v>
      </c>
      <c r="N570" t="s">
        <v>24</v>
      </c>
      <c r="O570" t="s">
        <v>65</v>
      </c>
      <c r="P570" t="s">
        <v>47</v>
      </c>
    </row>
    <row r="571" spans="1:16" x14ac:dyDescent="0.3">
      <c r="A571" t="s">
        <v>751</v>
      </c>
      <c r="B571" s="1">
        <v>45967</v>
      </c>
      <c r="C571" t="s">
        <v>278</v>
      </c>
      <c r="D571" t="s">
        <v>104</v>
      </c>
      <c r="E571" t="s">
        <v>83</v>
      </c>
      <c r="F571" t="s">
        <v>52</v>
      </c>
      <c r="G571" t="s">
        <v>76</v>
      </c>
      <c r="H571" t="s">
        <v>122</v>
      </c>
      <c r="I571" t="s">
        <v>123</v>
      </c>
      <c r="J571" s="2">
        <v>10450</v>
      </c>
      <c r="K571">
        <v>5</v>
      </c>
      <c r="L571" s="2">
        <v>0.05</v>
      </c>
      <c r="M571" s="2">
        <v>1187.56</v>
      </c>
      <c r="N571" t="s">
        <v>64</v>
      </c>
      <c r="O571" t="s">
        <v>108</v>
      </c>
      <c r="P571" t="s">
        <v>55</v>
      </c>
    </row>
    <row r="572" spans="1:16" x14ac:dyDescent="0.3">
      <c r="A572" t="s">
        <v>819</v>
      </c>
      <c r="B572" s="1">
        <v>46013</v>
      </c>
      <c r="C572" t="s">
        <v>820</v>
      </c>
      <c r="D572" t="s">
        <v>119</v>
      </c>
      <c r="E572" t="s">
        <v>75</v>
      </c>
      <c r="F572" t="s">
        <v>20</v>
      </c>
      <c r="G572" t="s">
        <v>61</v>
      </c>
      <c r="H572" t="s">
        <v>98</v>
      </c>
      <c r="I572" t="s">
        <v>156</v>
      </c>
      <c r="J572" s="2">
        <v>205200</v>
      </c>
      <c r="K572">
        <v>6</v>
      </c>
      <c r="L572" s="2">
        <v>0.1</v>
      </c>
      <c r="M572" s="2">
        <v>43774.98</v>
      </c>
      <c r="N572" t="s">
        <v>24</v>
      </c>
      <c r="O572" t="s">
        <v>65</v>
      </c>
      <c r="P572" t="s">
        <v>26</v>
      </c>
    </row>
    <row r="573" spans="1:16" x14ac:dyDescent="0.3">
      <c r="A573" t="s">
        <v>1236</v>
      </c>
      <c r="B573" s="1">
        <v>46272</v>
      </c>
      <c r="C573" t="s">
        <v>647</v>
      </c>
      <c r="D573" t="s">
        <v>166</v>
      </c>
      <c r="E573" t="s">
        <v>75</v>
      </c>
      <c r="F573" t="s">
        <v>20</v>
      </c>
      <c r="G573" t="s">
        <v>32</v>
      </c>
      <c r="H573" t="s">
        <v>84</v>
      </c>
      <c r="I573" t="s">
        <v>140</v>
      </c>
      <c r="J573" s="2">
        <v>13500</v>
      </c>
      <c r="K573">
        <v>2</v>
      </c>
      <c r="L573" s="2">
        <v>0.1</v>
      </c>
      <c r="M573" s="2">
        <v>2748.57</v>
      </c>
      <c r="N573" t="s">
        <v>114</v>
      </c>
      <c r="O573" t="s">
        <v>79</v>
      </c>
      <c r="P573" t="s">
        <v>47</v>
      </c>
    </row>
    <row r="574" spans="1:16" x14ac:dyDescent="0.3">
      <c r="A574" t="s">
        <v>504</v>
      </c>
      <c r="B574" s="1">
        <v>45833</v>
      </c>
      <c r="C574" t="s">
        <v>441</v>
      </c>
      <c r="D574" t="s">
        <v>104</v>
      </c>
      <c r="E574" t="s">
        <v>83</v>
      </c>
      <c r="F574" t="s">
        <v>52</v>
      </c>
      <c r="G574" t="s">
        <v>32</v>
      </c>
      <c r="H574" t="s">
        <v>84</v>
      </c>
      <c r="I574" t="s">
        <v>85</v>
      </c>
      <c r="J574" s="2">
        <v>31875</v>
      </c>
      <c r="K574">
        <v>3</v>
      </c>
      <c r="L574" s="2">
        <v>0.15</v>
      </c>
      <c r="M574" s="2">
        <v>8554.31</v>
      </c>
      <c r="N574" t="s">
        <v>45</v>
      </c>
      <c r="O574" t="s">
        <v>25</v>
      </c>
      <c r="P574" t="s">
        <v>55</v>
      </c>
    </row>
    <row r="575" spans="1:16" x14ac:dyDescent="0.3">
      <c r="A575" t="s">
        <v>613</v>
      </c>
      <c r="B575" s="1">
        <v>45886</v>
      </c>
      <c r="C575" t="s">
        <v>431</v>
      </c>
      <c r="D575" t="s">
        <v>58</v>
      </c>
      <c r="E575" t="s">
        <v>59</v>
      </c>
      <c r="F575" t="s">
        <v>60</v>
      </c>
      <c r="G575" t="s">
        <v>42</v>
      </c>
      <c r="H575" t="s">
        <v>43</v>
      </c>
      <c r="I575" t="s">
        <v>44</v>
      </c>
      <c r="J575" s="2">
        <v>21675</v>
      </c>
      <c r="K575">
        <v>3</v>
      </c>
      <c r="L575" s="2">
        <v>0.15</v>
      </c>
      <c r="M575" s="2">
        <v>1781.58</v>
      </c>
      <c r="N575" t="s">
        <v>24</v>
      </c>
      <c r="O575" t="s">
        <v>46</v>
      </c>
      <c r="P575" t="s">
        <v>47</v>
      </c>
    </row>
    <row r="576" spans="1:16" x14ac:dyDescent="0.3">
      <c r="A576" t="s">
        <v>239</v>
      </c>
      <c r="B576" s="1">
        <v>45726</v>
      </c>
      <c r="C576" t="s">
        <v>240</v>
      </c>
      <c r="D576" t="s">
        <v>152</v>
      </c>
      <c r="E576" t="s">
        <v>153</v>
      </c>
      <c r="F576" t="s">
        <v>20</v>
      </c>
      <c r="G576" t="s">
        <v>61</v>
      </c>
      <c r="H576" t="s">
        <v>62</v>
      </c>
      <c r="I576" t="s">
        <v>63</v>
      </c>
      <c r="J576" s="2">
        <v>900</v>
      </c>
      <c r="K576">
        <v>1</v>
      </c>
      <c r="L576" s="2">
        <v>0</v>
      </c>
      <c r="M576" s="2">
        <v>152.87</v>
      </c>
      <c r="N576" t="s">
        <v>64</v>
      </c>
      <c r="O576" t="s">
        <v>25</v>
      </c>
      <c r="P576" t="s">
        <v>26</v>
      </c>
    </row>
    <row r="577" spans="1:16" x14ac:dyDescent="0.3">
      <c r="A577" t="s">
        <v>453</v>
      </c>
      <c r="B577" s="1">
        <v>45800</v>
      </c>
      <c r="C577" t="s">
        <v>454</v>
      </c>
      <c r="D577" t="s">
        <v>134</v>
      </c>
      <c r="E577" t="s">
        <v>75</v>
      </c>
      <c r="F577" t="s">
        <v>20</v>
      </c>
      <c r="G577" t="s">
        <v>61</v>
      </c>
      <c r="H577" t="s">
        <v>128</v>
      </c>
      <c r="I577" t="s">
        <v>129</v>
      </c>
      <c r="J577" s="2">
        <v>265200</v>
      </c>
      <c r="K577">
        <v>6</v>
      </c>
      <c r="L577" s="2">
        <v>0.15</v>
      </c>
      <c r="M577" s="2">
        <v>49942.44</v>
      </c>
      <c r="N577" t="s">
        <v>35</v>
      </c>
      <c r="O577" t="s">
        <v>65</v>
      </c>
      <c r="P577" t="s">
        <v>47</v>
      </c>
    </row>
    <row r="578" spans="1:16" x14ac:dyDescent="0.3">
      <c r="A578" t="s">
        <v>765</v>
      </c>
      <c r="B578" s="1">
        <v>45977</v>
      </c>
      <c r="C578" t="s">
        <v>766</v>
      </c>
      <c r="D578" t="s">
        <v>166</v>
      </c>
      <c r="E578" t="s">
        <v>75</v>
      </c>
      <c r="F578" t="s">
        <v>20</v>
      </c>
      <c r="G578" t="s">
        <v>61</v>
      </c>
      <c r="H578" t="s">
        <v>98</v>
      </c>
      <c r="I578" t="s">
        <v>99</v>
      </c>
      <c r="J578" s="2">
        <v>81000</v>
      </c>
      <c r="K578">
        <v>3</v>
      </c>
      <c r="L578" s="2">
        <v>0.1</v>
      </c>
      <c r="M578" s="2">
        <v>12156.4</v>
      </c>
      <c r="N578" t="s">
        <v>35</v>
      </c>
      <c r="O578" t="s">
        <v>71</v>
      </c>
      <c r="P578" t="s">
        <v>47</v>
      </c>
    </row>
    <row r="579" spans="1:16" x14ac:dyDescent="0.3">
      <c r="A579" t="s">
        <v>331</v>
      </c>
      <c r="B579" s="1">
        <v>45749</v>
      </c>
      <c r="C579" t="s">
        <v>144</v>
      </c>
      <c r="D579" t="s">
        <v>96</v>
      </c>
      <c r="E579" t="s">
        <v>97</v>
      </c>
      <c r="F579" t="s">
        <v>20</v>
      </c>
      <c r="G579" t="s">
        <v>61</v>
      </c>
      <c r="H579" t="s">
        <v>128</v>
      </c>
      <c r="I579" t="s">
        <v>129</v>
      </c>
      <c r="J579" s="2">
        <v>49400</v>
      </c>
      <c r="K579">
        <v>1</v>
      </c>
      <c r="L579" s="2">
        <v>0.05</v>
      </c>
      <c r="M579" s="2">
        <v>6284.66</v>
      </c>
      <c r="N579" t="s">
        <v>24</v>
      </c>
      <c r="O579" t="s">
        <v>71</v>
      </c>
      <c r="P579" t="s">
        <v>26</v>
      </c>
    </row>
    <row r="580" spans="1:16" x14ac:dyDescent="0.3">
      <c r="A580" t="s">
        <v>378</v>
      </c>
      <c r="B580" s="1">
        <v>45771</v>
      </c>
      <c r="C580" t="s">
        <v>379</v>
      </c>
      <c r="D580" t="s">
        <v>82</v>
      </c>
      <c r="E580" t="s">
        <v>83</v>
      </c>
      <c r="F580" t="s">
        <v>52</v>
      </c>
      <c r="G580" t="s">
        <v>76</v>
      </c>
      <c r="H580" t="s">
        <v>77</v>
      </c>
      <c r="I580" t="s">
        <v>171</v>
      </c>
      <c r="J580" s="2">
        <v>1600</v>
      </c>
      <c r="K580">
        <v>1</v>
      </c>
      <c r="L580" s="2">
        <v>0</v>
      </c>
      <c r="M580" s="2">
        <v>362.99</v>
      </c>
      <c r="N580" t="s">
        <v>45</v>
      </c>
      <c r="O580" t="s">
        <v>108</v>
      </c>
      <c r="P580" t="s">
        <v>26</v>
      </c>
    </row>
    <row r="581" spans="1:16" x14ac:dyDescent="0.3">
      <c r="A581" t="s">
        <v>448</v>
      </c>
      <c r="B581" s="1">
        <v>45798</v>
      </c>
      <c r="C581" t="s">
        <v>419</v>
      </c>
      <c r="D581" t="s">
        <v>39</v>
      </c>
      <c r="E581" t="s">
        <v>40</v>
      </c>
      <c r="F581" t="s">
        <v>41</v>
      </c>
      <c r="G581" t="s">
        <v>61</v>
      </c>
      <c r="H581" t="s">
        <v>128</v>
      </c>
      <c r="I581" t="s">
        <v>195</v>
      </c>
      <c r="J581" s="2">
        <v>92800</v>
      </c>
      <c r="K581">
        <v>2</v>
      </c>
      <c r="L581" s="2">
        <v>0.2</v>
      </c>
      <c r="M581" s="2">
        <v>17410.53</v>
      </c>
      <c r="N581" t="s">
        <v>45</v>
      </c>
      <c r="O581" t="s">
        <v>46</v>
      </c>
      <c r="P581" t="s">
        <v>55</v>
      </c>
    </row>
    <row r="582" spans="1:16" x14ac:dyDescent="0.3">
      <c r="A582" t="s">
        <v>816</v>
      </c>
      <c r="B582" s="1">
        <v>46009</v>
      </c>
      <c r="C582" t="s">
        <v>118</v>
      </c>
      <c r="D582" t="s">
        <v>91</v>
      </c>
      <c r="E582" t="s">
        <v>91</v>
      </c>
      <c r="F582" t="s">
        <v>60</v>
      </c>
      <c r="G582" t="s">
        <v>61</v>
      </c>
      <c r="H582" t="s">
        <v>62</v>
      </c>
      <c r="I582" t="s">
        <v>70</v>
      </c>
      <c r="J582" s="2">
        <v>1620</v>
      </c>
      <c r="K582">
        <v>1</v>
      </c>
      <c r="L582" s="2">
        <v>0.1</v>
      </c>
      <c r="M582" s="2">
        <v>344.46</v>
      </c>
      <c r="N582" t="s">
        <v>114</v>
      </c>
      <c r="O582" t="s">
        <v>108</v>
      </c>
      <c r="P582" t="s">
        <v>47</v>
      </c>
    </row>
    <row r="583" spans="1:16" x14ac:dyDescent="0.3">
      <c r="A583" t="s">
        <v>984</v>
      </c>
      <c r="B583" s="1">
        <v>46111</v>
      </c>
      <c r="C583" t="s">
        <v>182</v>
      </c>
      <c r="D583" t="s">
        <v>68</v>
      </c>
      <c r="E583" t="s">
        <v>69</v>
      </c>
      <c r="F583" t="s">
        <v>41</v>
      </c>
      <c r="G583" t="s">
        <v>21</v>
      </c>
      <c r="H583" t="s">
        <v>175</v>
      </c>
      <c r="I583" t="s">
        <v>176</v>
      </c>
      <c r="J583" s="2">
        <v>1852.5</v>
      </c>
      <c r="K583">
        <v>3</v>
      </c>
      <c r="L583" s="2">
        <v>0.05</v>
      </c>
      <c r="M583" s="2">
        <v>417.87</v>
      </c>
      <c r="N583" t="s">
        <v>45</v>
      </c>
      <c r="O583" t="s">
        <v>108</v>
      </c>
      <c r="P583" t="s">
        <v>26</v>
      </c>
    </row>
    <row r="584" spans="1:16" x14ac:dyDescent="0.3">
      <c r="A584" t="s">
        <v>1044</v>
      </c>
      <c r="B584" s="1">
        <v>46141</v>
      </c>
      <c r="C584" t="s">
        <v>723</v>
      </c>
      <c r="D584" t="s">
        <v>173</v>
      </c>
      <c r="E584" t="s">
        <v>174</v>
      </c>
      <c r="F584" t="s">
        <v>60</v>
      </c>
      <c r="G584" t="s">
        <v>76</v>
      </c>
      <c r="H584" t="s">
        <v>122</v>
      </c>
      <c r="I584" t="s">
        <v>217</v>
      </c>
      <c r="J584" s="2">
        <v>5130</v>
      </c>
      <c r="K584">
        <v>3</v>
      </c>
      <c r="L584" s="2">
        <v>0.05</v>
      </c>
      <c r="M584" s="2">
        <v>1290.8900000000001</v>
      </c>
      <c r="N584" t="s">
        <v>35</v>
      </c>
      <c r="O584" t="s">
        <v>108</v>
      </c>
      <c r="P584" t="s">
        <v>47</v>
      </c>
    </row>
    <row r="585" spans="1:16" x14ac:dyDescent="0.3">
      <c r="A585" t="s">
        <v>1050</v>
      </c>
      <c r="B585" s="1">
        <v>46148</v>
      </c>
      <c r="C585" t="s">
        <v>1051</v>
      </c>
      <c r="D585" t="s">
        <v>104</v>
      </c>
      <c r="E585" t="s">
        <v>83</v>
      </c>
      <c r="F585" t="s">
        <v>52</v>
      </c>
      <c r="G585" t="s">
        <v>21</v>
      </c>
      <c r="H585" t="s">
        <v>175</v>
      </c>
      <c r="I585" t="s">
        <v>176</v>
      </c>
      <c r="J585" s="2">
        <v>3510</v>
      </c>
      <c r="K585">
        <v>6</v>
      </c>
      <c r="L585" s="2">
        <v>0.1</v>
      </c>
      <c r="M585" s="2">
        <v>442.02</v>
      </c>
      <c r="N585" t="s">
        <v>64</v>
      </c>
      <c r="O585" t="s">
        <v>36</v>
      </c>
      <c r="P585" t="s">
        <v>55</v>
      </c>
    </row>
    <row r="586" spans="1:16" x14ac:dyDescent="0.3">
      <c r="A586" t="s">
        <v>1152</v>
      </c>
      <c r="B586" s="1">
        <v>46209</v>
      </c>
      <c r="C586" t="s">
        <v>318</v>
      </c>
      <c r="D586" t="s">
        <v>134</v>
      </c>
      <c r="E586" t="s">
        <v>75</v>
      </c>
      <c r="F586" t="s">
        <v>20</v>
      </c>
      <c r="G586" t="s">
        <v>42</v>
      </c>
      <c r="H586" t="s">
        <v>43</v>
      </c>
      <c r="I586" t="s">
        <v>44</v>
      </c>
      <c r="J586" s="2">
        <v>40375</v>
      </c>
      <c r="K586">
        <v>5</v>
      </c>
      <c r="L586" s="2">
        <v>0.05</v>
      </c>
      <c r="M586" s="2">
        <v>3144.04</v>
      </c>
      <c r="N586" t="s">
        <v>35</v>
      </c>
      <c r="O586" t="s">
        <v>46</v>
      </c>
      <c r="P586" t="s">
        <v>26</v>
      </c>
    </row>
    <row r="587" spans="1:16" x14ac:dyDescent="0.3">
      <c r="A587" t="s">
        <v>1113</v>
      </c>
      <c r="B587" s="1">
        <v>46181</v>
      </c>
      <c r="C587" t="s">
        <v>389</v>
      </c>
      <c r="D587" t="s">
        <v>119</v>
      </c>
      <c r="E587" t="s">
        <v>75</v>
      </c>
      <c r="F587" t="s">
        <v>20</v>
      </c>
      <c r="G587" t="s">
        <v>32</v>
      </c>
      <c r="H587" t="s">
        <v>33</v>
      </c>
      <c r="I587" t="s">
        <v>34</v>
      </c>
      <c r="J587" s="2">
        <v>5890</v>
      </c>
      <c r="K587">
        <v>1</v>
      </c>
      <c r="L587" s="2">
        <v>0.05</v>
      </c>
      <c r="M587" s="2">
        <v>1397.03</v>
      </c>
      <c r="N587" t="s">
        <v>35</v>
      </c>
      <c r="O587" t="s">
        <v>105</v>
      </c>
      <c r="P587" t="s">
        <v>26</v>
      </c>
    </row>
    <row r="588" spans="1:16" x14ac:dyDescent="0.3">
      <c r="A588" t="s">
        <v>130</v>
      </c>
      <c r="B588" s="1">
        <v>45675</v>
      </c>
      <c r="C588" t="s">
        <v>131</v>
      </c>
      <c r="D588" t="s">
        <v>119</v>
      </c>
      <c r="E588" t="s">
        <v>75</v>
      </c>
      <c r="F588" t="s">
        <v>20</v>
      </c>
      <c r="G588" t="s">
        <v>32</v>
      </c>
      <c r="H588" t="s">
        <v>92</v>
      </c>
      <c r="I588" t="s">
        <v>93</v>
      </c>
      <c r="J588" s="2">
        <v>57500</v>
      </c>
      <c r="K588">
        <v>5</v>
      </c>
      <c r="L588" s="2">
        <v>0</v>
      </c>
      <c r="M588" s="2">
        <v>10824.24</v>
      </c>
      <c r="N588" t="s">
        <v>35</v>
      </c>
      <c r="O588" t="s">
        <v>46</v>
      </c>
      <c r="P588" t="s">
        <v>26</v>
      </c>
    </row>
    <row r="589" spans="1:16" x14ac:dyDescent="0.3">
      <c r="A589" t="s">
        <v>364</v>
      </c>
      <c r="B589" s="1">
        <v>45763</v>
      </c>
      <c r="C589" t="s">
        <v>211</v>
      </c>
      <c r="D589" t="s">
        <v>58</v>
      </c>
      <c r="E589" t="s">
        <v>59</v>
      </c>
      <c r="F589" t="s">
        <v>60</v>
      </c>
      <c r="G589" t="s">
        <v>32</v>
      </c>
      <c r="H589" t="s">
        <v>84</v>
      </c>
      <c r="I589" t="s">
        <v>140</v>
      </c>
      <c r="J589" s="2">
        <v>42750</v>
      </c>
      <c r="K589">
        <v>6</v>
      </c>
      <c r="L589" s="2">
        <v>0.05</v>
      </c>
      <c r="M589" s="2">
        <v>10549.4</v>
      </c>
      <c r="N589" t="s">
        <v>64</v>
      </c>
      <c r="O589" t="s">
        <v>86</v>
      </c>
      <c r="P589" t="s">
        <v>47</v>
      </c>
    </row>
    <row r="590" spans="1:16" x14ac:dyDescent="0.3">
      <c r="A590" t="s">
        <v>1287</v>
      </c>
      <c r="B590" s="1">
        <v>46309</v>
      </c>
      <c r="C590" t="s">
        <v>937</v>
      </c>
      <c r="D590" t="s">
        <v>119</v>
      </c>
      <c r="E590" t="s">
        <v>75</v>
      </c>
      <c r="F590" t="s">
        <v>20</v>
      </c>
      <c r="G590" t="s">
        <v>21</v>
      </c>
      <c r="H590" t="s">
        <v>22</v>
      </c>
      <c r="I590" t="s">
        <v>23</v>
      </c>
      <c r="J590" s="2">
        <v>765</v>
      </c>
      <c r="K590">
        <v>2</v>
      </c>
      <c r="L590" s="2">
        <v>0.15</v>
      </c>
      <c r="M590" s="2">
        <v>95.85</v>
      </c>
      <c r="N590" t="s">
        <v>45</v>
      </c>
      <c r="O590" t="s">
        <v>46</v>
      </c>
      <c r="P590" t="s">
        <v>55</v>
      </c>
    </row>
    <row r="591" spans="1:16" x14ac:dyDescent="0.3">
      <c r="A591" t="s">
        <v>281</v>
      </c>
      <c r="B591" s="1">
        <v>45736</v>
      </c>
      <c r="C591" t="s">
        <v>255</v>
      </c>
      <c r="D591" t="s">
        <v>18</v>
      </c>
      <c r="E591" t="s">
        <v>19</v>
      </c>
      <c r="F591" t="s">
        <v>20</v>
      </c>
      <c r="G591" t="s">
        <v>61</v>
      </c>
      <c r="H591" t="s">
        <v>62</v>
      </c>
      <c r="I591" t="s">
        <v>63</v>
      </c>
      <c r="J591" s="2">
        <v>4275</v>
      </c>
      <c r="K591">
        <v>5</v>
      </c>
      <c r="L591" s="2">
        <v>0.05</v>
      </c>
      <c r="M591" s="2">
        <v>991.78</v>
      </c>
      <c r="N591" t="s">
        <v>64</v>
      </c>
      <c r="O591" t="s">
        <v>71</v>
      </c>
      <c r="P591" t="s">
        <v>55</v>
      </c>
    </row>
    <row r="592" spans="1:16" x14ac:dyDescent="0.3">
      <c r="A592" t="s">
        <v>950</v>
      </c>
      <c r="B592" s="1">
        <v>46089</v>
      </c>
      <c r="C592" t="s">
        <v>851</v>
      </c>
      <c r="D592" t="s">
        <v>58</v>
      </c>
      <c r="E592" t="s">
        <v>59</v>
      </c>
      <c r="F592" t="s">
        <v>60</v>
      </c>
      <c r="G592" t="s">
        <v>32</v>
      </c>
      <c r="H592" t="s">
        <v>92</v>
      </c>
      <c r="I592" t="s">
        <v>93</v>
      </c>
      <c r="J592" s="2">
        <v>34500</v>
      </c>
      <c r="K592">
        <v>3</v>
      </c>
      <c r="L592" s="2">
        <v>0</v>
      </c>
      <c r="M592" s="2">
        <v>9553.57</v>
      </c>
      <c r="N592" t="s">
        <v>45</v>
      </c>
      <c r="O592" t="s">
        <v>71</v>
      </c>
      <c r="P592" t="s">
        <v>55</v>
      </c>
    </row>
    <row r="593" spans="1:16" x14ac:dyDescent="0.3">
      <c r="A593" t="s">
        <v>327</v>
      </c>
      <c r="B593" s="1">
        <v>45748</v>
      </c>
      <c r="C593" t="s">
        <v>73</v>
      </c>
      <c r="D593" t="s">
        <v>91</v>
      </c>
      <c r="E593" t="s">
        <v>91</v>
      </c>
      <c r="F593" t="s">
        <v>60</v>
      </c>
      <c r="G593" t="s">
        <v>61</v>
      </c>
      <c r="H593" t="s">
        <v>62</v>
      </c>
      <c r="I593" t="s">
        <v>63</v>
      </c>
      <c r="J593" s="2">
        <v>2565</v>
      </c>
      <c r="K593">
        <v>3</v>
      </c>
      <c r="L593" s="2">
        <v>0.05</v>
      </c>
      <c r="M593" s="2">
        <v>556.92999999999995</v>
      </c>
      <c r="N593" t="s">
        <v>114</v>
      </c>
      <c r="O593" t="s">
        <v>36</v>
      </c>
      <c r="P593" t="s">
        <v>47</v>
      </c>
    </row>
    <row r="594" spans="1:16" x14ac:dyDescent="0.3">
      <c r="A594" t="s">
        <v>1063</v>
      </c>
      <c r="B594" s="1">
        <v>46153</v>
      </c>
      <c r="C594" t="s">
        <v>116</v>
      </c>
      <c r="D594" t="s">
        <v>104</v>
      </c>
      <c r="E594" t="s">
        <v>83</v>
      </c>
      <c r="F594" t="s">
        <v>52</v>
      </c>
      <c r="G594" t="s">
        <v>61</v>
      </c>
      <c r="H594" t="s">
        <v>98</v>
      </c>
      <c r="I594" t="s">
        <v>156</v>
      </c>
      <c r="J594" s="2">
        <v>205200</v>
      </c>
      <c r="K594">
        <v>6</v>
      </c>
      <c r="L594" s="2">
        <v>0.1</v>
      </c>
      <c r="M594" s="2">
        <v>43055.93</v>
      </c>
      <c r="N594" t="s">
        <v>35</v>
      </c>
      <c r="O594" t="s">
        <v>36</v>
      </c>
      <c r="P594" t="s">
        <v>55</v>
      </c>
    </row>
    <row r="595" spans="1:16" x14ac:dyDescent="0.3">
      <c r="A595" t="s">
        <v>619</v>
      </c>
      <c r="B595" s="1">
        <v>45889</v>
      </c>
      <c r="C595" t="s">
        <v>620</v>
      </c>
      <c r="D595" t="s">
        <v>29</v>
      </c>
      <c r="E595" t="s">
        <v>30</v>
      </c>
      <c r="F595" t="s">
        <v>31</v>
      </c>
      <c r="G595" t="s">
        <v>76</v>
      </c>
      <c r="H595" t="s">
        <v>122</v>
      </c>
      <c r="I595" t="s">
        <v>123</v>
      </c>
      <c r="J595" s="2">
        <v>6270</v>
      </c>
      <c r="K595">
        <v>3</v>
      </c>
      <c r="L595" s="2">
        <v>0.05</v>
      </c>
      <c r="M595" s="2">
        <v>473.49</v>
      </c>
      <c r="N595" t="s">
        <v>64</v>
      </c>
      <c r="O595" t="s">
        <v>25</v>
      </c>
      <c r="P595" t="s">
        <v>26</v>
      </c>
    </row>
    <row r="596" spans="1:16" x14ac:dyDescent="0.3">
      <c r="A596" t="s">
        <v>711</v>
      </c>
      <c r="B596" s="1">
        <v>45940</v>
      </c>
      <c r="C596" t="s">
        <v>712</v>
      </c>
      <c r="D596" t="s">
        <v>74</v>
      </c>
      <c r="E596" t="s">
        <v>75</v>
      </c>
      <c r="F596" t="s">
        <v>20</v>
      </c>
      <c r="G596" t="s">
        <v>21</v>
      </c>
      <c r="H596" t="s">
        <v>22</v>
      </c>
      <c r="I596" t="s">
        <v>111</v>
      </c>
      <c r="J596" s="2">
        <v>270</v>
      </c>
      <c r="K596">
        <v>1</v>
      </c>
      <c r="L596" s="2">
        <v>0.1</v>
      </c>
      <c r="M596" s="2">
        <v>27.17</v>
      </c>
      <c r="N596" t="s">
        <v>24</v>
      </c>
      <c r="O596" t="s">
        <v>65</v>
      </c>
      <c r="P596" t="s">
        <v>26</v>
      </c>
    </row>
    <row r="597" spans="1:16" x14ac:dyDescent="0.3">
      <c r="A597" t="s">
        <v>650</v>
      </c>
      <c r="B597" s="1">
        <v>45905</v>
      </c>
      <c r="C597" t="s">
        <v>28</v>
      </c>
      <c r="D597" t="s">
        <v>119</v>
      </c>
      <c r="E597" t="s">
        <v>75</v>
      </c>
      <c r="F597" t="s">
        <v>20</v>
      </c>
      <c r="G597" t="s">
        <v>76</v>
      </c>
      <c r="H597" t="s">
        <v>122</v>
      </c>
      <c r="I597" t="s">
        <v>123</v>
      </c>
      <c r="J597" s="2">
        <v>3740</v>
      </c>
      <c r="K597">
        <v>2</v>
      </c>
      <c r="L597" s="2">
        <v>0.15</v>
      </c>
      <c r="M597" s="2">
        <v>844.26</v>
      </c>
      <c r="N597" t="s">
        <v>114</v>
      </c>
      <c r="O597" t="s">
        <v>36</v>
      </c>
      <c r="P597" t="s">
        <v>26</v>
      </c>
    </row>
    <row r="598" spans="1:16" x14ac:dyDescent="0.3">
      <c r="A598" t="s">
        <v>498</v>
      </c>
      <c r="B598" s="1">
        <v>45831</v>
      </c>
      <c r="C598" t="s">
        <v>499</v>
      </c>
      <c r="D598" t="s">
        <v>50</v>
      </c>
      <c r="E598" t="s">
        <v>51</v>
      </c>
      <c r="F598" t="s">
        <v>52</v>
      </c>
      <c r="G598" t="s">
        <v>61</v>
      </c>
      <c r="H598" t="s">
        <v>98</v>
      </c>
      <c r="I598" t="s">
        <v>156</v>
      </c>
      <c r="J598" s="2">
        <v>36100</v>
      </c>
      <c r="K598">
        <v>1</v>
      </c>
      <c r="L598" s="2">
        <v>0.05</v>
      </c>
      <c r="M598" s="2">
        <v>9715.16</v>
      </c>
      <c r="N598" t="s">
        <v>24</v>
      </c>
      <c r="O598" t="s">
        <v>46</v>
      </c>
      <c r="P598" t="s">
        <v>26</v>
      </c>
    </row>
    <row r="599" spans="1:16" x14ac:dyDescent="0.3">
      <c r="A599" t="s">
        <v>1349</v>
      </c>
      <c r="B599" s="1">
        <v>46349</v>
      </c>
      <c r="C599" t="s">
        <v>853</v>
      </c>
      <c r="D599" t="s">
        <v>166</v>
      </c>
      <c r="E599" t="s">
        <v>75</v>
      </c>
      <c r="F599" t="s">
        <v>20</v>
      </c>
      <c r="G599" t="s">
        <v>42</v>
      </c>
      <c r="H599" t="s">
        <v>43</v>
      </c>
      <c r="I599" t="s">
        <v>44</v>
      </c>
      <c r="J599" s="2">
        <v>25500</v>
      </c>
      <c r="K599">
        <v>3</v>
      </c>
      <c r="L599" s="2">
        <v>0</v>
      </c>
      <c r="M599" s="2">
        <v>5096.7299999999996</v>
      </c>
      <c r="N599" t="s">
        <v>114</v>
      </c>
      <c r="O599" t="s">
        <v>65</v>
      </c>
      <c r="P599" t="s">
        <v>55</v>
      </c>
    </row>
    <row r="600" spans="1:16" x14ac:dyDescent="0.3">
      <c r="A600" t="s">
        <v>771</v>
      </c>
      <c r="B600" s="1">
        <v>45980</v>
      </c>
      <c r="C600" t="s">
        <v>375</v>
      </c>
      <c r="D600" t="s">
        <v>39</v>
      </c>
      <c r="E600" t="s">
        <v>40</v>
      </c>
      <c r="F600" t="s">
        <v>41</v>
      </c>
      <c r="G600" t="s">
        <v>61</v>
      </c>
      <c r="H600" t="s">
        <v>128</v>
      </c>
      <c r="I600" t="s">
        <v>195</v>
      </c>
      <c r="J600" s="2">
        <v>52200</v>
      </c>
      <c r="K600">
        <v>1</v>
      </c>
      <c r="L600" s="2">
        <v>0.1</v>
      </c>
      <c r="M600" s="2">
        <v>11649.83</v>
      </c>
      <c r="N600" t="s">
        <v>45</v>
      </c>
      <c r="O600" t="s">
        <v>105</v>
      </c>
      <c r="P600" t="s">
        <v>26</v>
      </c>
    </row>
    <row r="601" spans="1:16" x14ac:dyDescent="0.3">
      <c r="A601" t="s">
        <v>556</v>
      </c>
      <c r="B601" s="1">
        <v>45862</v>
      </c>
      <c r="C601" t="s">
        <v>557</v>
      </c>
      <c r="D601" t="s">
        <v>74</v>
      </c>
      <c r="E601" t="s">
        <v>75</v>
      </c>
      <c r="F601" t="s">
        <v>20</v>
      </c>
      <c r="G601" t="s">
        <v>21</v>
      </c>
      <c r="H601" t="s">
        <v>22</v>
      </c>
      <c r="I601" t="s">
        <v>23</v>
      </c>
      <c r="J601" s="2">
        <v>360</v>
      </c>
      <c r="K601">
        <v>1</v>
      </c>
      <c r="L601" s="2">
        <v>0.2</v>
      </c>
      <c r="M601" s="2">
        <v>62</v>
      </c>
      <c r="N601" t="s">
        <v>45</v>
      </c>
      <c r="O601" t="s">
        <v>105</v>
      </c>
      <c r="P601" t="s">
        <v>55</v>
      </c>
    </row>
    <row r="602" spans="1:16" x14ac:dyDescent="0.3">
      <c r="A602" t="s">
        <v>1066</v>
      </c>
      <c r="B602" s="1">
        <v>46155</v>
      </c>
      <c r="C602" t="s">
        <v>1067</v>
      </c>
      <c r="D602" t="s">
        <v>104</v>
      </c>
      <c r="E602" t="s">
        <v>83</v>
      </c>
      <c r="F602" t="s">
        <v>52</v>
      </c>
      <c r="G602" t="s">
        <v>21</v>
      </c>
      <c r="H602" t="s">
        <v>22</v>
      </c>
      <c r="I602" t="s">
        <v>111</v>
      </c>
      <c r="J602" s="2">
        <v>300</v>
      </c>
      <c r="K602">
        <v>1</v>
      </c>
      <c r="L602" s="2">
        <v>0</v>
      </c>
      <c r="M602" s="2">
        <v>56.81</v>
      </c>
      <c r="N602" t="s">
        <v>114</v>
      </c>
      <c r="O602" t="s">
        <v>108</v>
      </c>
      <c r="P602" t="s">
        <v>55</v>
      </c>
    </row>
    <row r="603" spans="1:16" x14ac:dyDescent="0.3">
      <c r="A603" t="s">
        <v>1204</v>
      </c>
      <c r="B603" s="1">
        <v>46246</v>
      </c>
      <c r="C603" t="s">
        <v>611</v>
      </c>
      <c r="D603" t="s">
        <v>91</v>
      </c>
      <c r="E603" t="s">
        <v>91</v>
      </c>
      <c r="F603" t="s">
        <v>60</v>
      </c>
      <c r="G603" t="s">
        <v>61</v>
      </c>
      <c r="H603" t="s">
        <v>62</v>
      </c>
      <c r="I603" t="s">
        <v>70</v>
      </c>
      <c r="J603" s="2">
        <v>7200</v>
      </c>
      <c r="K603">
        <v>4</v>
      </c>
      <c r="L603" s="2">
        <v>0</v>
      </c>
      <c r="M603" s="2">
        <v>1612.8</v>
      </c>
      <c r="N603" t="s">
        <v>24</v>
      </c>
      <c r="O603" t="s">
        <v>25</v>
      </c>
      <c r="P603" t="s">
        <v>55</v>
      </c>
    </row>
    <row r="604" spans="1:16" x14ac:dyDescent="0.3">
      <c r="A604" t="s">
        <v>323</v>
      </c>
      <c r="B604" s="1">
        <v>45747</v>
      </c>
      <c r="C604" t="s">
        <v>324</v>
      </c>
      <c r="D604" t="s">
        <v>104</v>
      </c>
      <c r="E604" t="s">
        <v>83</v>
      </c>
      <c r="F604" t="s">
        <v>52</v>
      </c>
      <c r="G604" t="s">
        <v>61</v>
      </c>
      <c r="H604" t="s">
        <v>128</v>
      </c>
      <c r="I604" t="s">
        <v>129</v>
      </c>
      <c r="J604" s="2">
        <v>88400</v>
      </c>
      <c r="K604">
        <v>2</v>
      </c>
      <c r="L604" s="2">
        <v>0.15</v>
      </c>
      <c r="M604" s="2">
        <v>7501.75</v>
      </c>
      <c r="N604" t="s">
        <v>45</v>
      </c>
      <c r="O604" t="s">
        <v>108</v>
      </c>
      <c r="P604" t="s">
        <v>47</v>
      </c>
    </row>
    <row r="605" spans="1:16" x14ac:dyDescent="0.3">
      <c r="A605" t="s">
        <v>522</v>
      </c>
      <c r="B605" s="1">
        <v>45843</v>
      </c>
      <c r="C605" t="s">
        <v>523</v>
      </c>
      <c r="D605" t="s">
        <v>39</v>
      </c>
      <c r="E605" t="s">
        <v>40</v>
      </c>
      <c r="F605" t="s">
        <v>41</v>
      </c>
      <c r="G605" t="s">
        <v>42</v>
      </c>
      <c r="H605" t="s">
        <v>53</v>
      </c>
      <c r="I605" t="s">
        <v>54</v>
      </c>
      <c r="J605" s="2">
        <v>1800</v>
      </c>
      <c r="K605">
        <v>1</v>
      </c>
      <c r="L605" s="2">
        <v>0</v>
      </c>
      <c r="M605" s="2">
        <v>213</v>
      </c>
      <c r="N605" t="s">
        <v>24</v>
      </c>
      <c r="O605" t="s">
        <v>135</v>
      </c>
      <c r="P605" t="s">
        <v>26</v>
      </c>
    </row>
    <row r="606" spans="1:16" x14ac:dyDescent="0.3">
      <c r="A606" t="s">
        <v>1359</v>
      </c>
      <c r="B606" s="1">
        <v>46358</v>
      </c>
      <c r="C606" t="s">
        <v>851</v>
      </c>
      <c r="D606" t="s">
        <v>152</v>
      </c>
      <c r="E606" t="s">
        <v>153</v>
      </c>
      <c r="F606" t="s">
        <v>20</v>
      </c>
      <c r="G606" t="s">
        <v>32</v>
      </c>
      <c r="H606" t="s">
        <v>92</v>
      </c>
      <c r="I606" t="s">
        <v>93</v>
      </c>
      <c r="J606" s="2">
        <v>58650</v>
      </c>
      <c r="K606">
        <v>6</v>
      </c>
      <c r="L606" s="2">
        <v>0.15</v>
      </c>
      <c r="M606" s="2">
        <v>13655.8</v>
      </c>
      <c r="N606" t="s">
        <v>45</v>
      </c>
      <c r="O606" t="s">
        <v>79</v>
      </c>
      <c r="P606" t="s">
        <v>55</v>
      </c>
    </row>
    <row r="607" spans="1:16" x14ac:dyDescent="0.3">
      <c r="A607" t="s">
        <v>901</v>
      </c>
      <c r="B607" s="1">
        <v>46057</v>
      </c>
      <c r="C607" t="s">
        <v>203</v>
      </c>
      <c r="D607" t="s">
        <v>18</v>
      </c>
      <c r="E607" t="s">
        <v>19</v>
      </c>
      <c r="F607" t="s">
        <v>20</v>
      </c>
      <c r="G607" t="s">
        <v>21</v>
      </c>
      <c r="H607" t="s">
        <v>175</v>
      </c>
      <c r="I607" t="s">
        <v>176</v>
      </c>
      <c r="J607" s="2">
        <v>650</v>
      </c>
      <c r="K607">
        <v>1</v>
      </c>
      <c r="L607" s="2">
        <v>0</v>
      </c>
      <c r="M607" s="2">
        <v>83.05</v>
      </c>
      <c r="N607" t="s">
        <v>45</v>
      </c>
      <c r="O607" t="s">
        <v>108</v>
      </c>
      <c r="P607" t="s">
        <v>47</v>
      </c>
    </row>
    <row r="608" spans="1:16" x14ac:dyDescent="0.3">
      <c r="A608" t="s">
        <v>424</v>
      </c>
      <c r="B608" s="1">
        <v>45791</v>
      </c>
      <c r="C608" t="s">
        <v>194</v>
      </c>
      <c r="D608" t="s">
        <v>68</v>
      </c>
      <c r="E608" t="s">
        <v>69</v>
      </c>
      <c r="F608" t="s">
        <v>41</v>
      </c>
      <c r="G608" t="s">
        <v>32</v>
      </c>
      <c r="H608" t="s">
        <v>84</v>
      </c>
      <c r="I608" t="s">
        <v>140</v>
      </c>
      <c r="J608" s="2">
        <v>14250</v>
      </c>
      <c r="K608">
        <v>2</v>
      </c>
      <c r="L608" s="2">
        <v>0.05</v>
      </c>
      <c r="M608" s="2">
        <v>1883.85</v>
      </c>
      <c r="N608" t="s">
        <v>35</v>
      </c>
      <c r="O608" t="s">
        <v>36</v>
      </c>
      <c r="P608" t="s">
        <v>26</v>
      </c>
    </row>
    <row r="609" spans="1:16" x14ac:dyDescent="0.3">
      <c r="A609" t="s">
        <v>603</v>
      </c>
      <c r="B609" s="1">
        <v>45883</v>
      </c>
      <c r="C609" t="s">
        <v>501</v>
      </c>
      <c r="D609" t="s">
        <v>39</v>
      </c>
      <c r="E609" t="s">
        <v>40</v>
      </c>
      <c r="F609" t="s">
        <v>41</v>
      </c>
      <c r="G609" t="s">
        <v>61</v>
      </c>
      <c r="H609" t="s">
        <v>98</v>
      </c>
      <c r="I609" t="s">
        <v>99</v>
      </c>
      <c r="J609" s="2">
        <v>171000</v>
      </c>
      <c r="K609">
        <v>6</v>
      </c>
      <c r="L609" s="2">
        <v>0.05</v>
      </c>
      <c r="M609" s="2">
        <v>37162.949999999997</v>
      </c>
      <c r="N609" t="s">
        <v>114</v>
      </c>
      <c r="O609" t="s">
        <v>108</v>
      </c>
      <c r="P609" t="s">
        <v>26</v>
      </c>
    </row>
    <row r="610" spans="1:16" x14ac:dyDescent="0.3">
      <c r="A610" t="s">
        <v>1240</v>
      </c>
      <c r="B610" s="1">
        <v>46275</v>
      </c>
      <c r="C610" t="s">
        <v>227</v>
      </c>
      <c r="D610" t="s">
        <v>173</v>
      </c>
      <c r="E610" t="s">
        <v>174</v>
      </c>
      <c r="F610" t="s">
        <v>60</v>
      </c>
      <c r="G610" t="s">
        <v>42</v>
      </c>
      <c r="H610" t="s">
        <v>43</v>
      </c>
      <c r="I610" t="s">
        <v>44</v>
      </c>
      <c r="J610" s="2">
        <v>43350</v>
      </c>
      <c r="K610">
        <v>6</v>
      </c>
      <c r="L610" s="2">
        <v>0.15</v>
      </c>
      <c r="M610" s="2">
        <v>6738.41</v>
      </c>
      <c r="N610" t="s">
        <v>24</v>
      </c>
      <c r="O610" t="s">
        <v>108</v>
      </c>
      <c r="P610" t="s">
        <v>26</v>
      </c>
    </row>
    <row r="611" spans="1:16" x14ac:dyDescent="0.3">
      <c r="A611" t="s">
        <v>432</v>
      </c>
      <c r="B611" s="1">
        <v>45794</v>
      </c>
      <c r="C611" t="s">
        <v>433</v>
      </c>
      <c r="D611" t="s">
        <v>96</v>
      </c>
      <c r="E611" t="s">
        <v>97</v>
      </c>
      <c r="F611" t="s">
        <v>20</v>
      </c>
      <c r="G611" t="s">
        <v>76</v>
      </c>
      <c r="H611" t="s">
        <v>77</v>
      </c>
      <c r="I611" t="s">
        <v>171</v>
      </c>
      <c r="J611" s="2">
        <v>4080</v>
      </c>
      <c r="K611">
        <v>3</v>
      </c>
      <c r="L611" s="2">
        <v>0.15</v>
      </c>
      <c r="M611" s="2">
        <v>723.87</v>
      </c>
      <c r="N611" t="s">
        <v>24</v>
      </c>
      <c r="O611" t="s">
        <v>79</v>
      </c>
      <c r="P611" t="s">
        <v>47</v>
      </c>
    </row>
    <row r="612" spans="1:16" x14ac:dyDescent="0.3">
      <c r="A612" t="s">
        <v>1064</v>
      </c>
      <c r="B612" s="1">
        <v>46153</v>
      </c>
      <c r="C612" t="s">
        <v>287</v>
      </c>
      <c r="D612" t="s">
        <v>82</v>
      </c>
      <c r="E612" t="s">
        <v>83</v>
      </c>
      <c r="F612" t="s">
        <v>52</v>
      </c>
      <c r="G612" t="s">
        <v>61</v>
      </c>
      <c r="H612" t="s">
        <v>62</v>
      </c>
      <c r="I612" t="s">
        <v>63</v>
      </c>
      <c r="J612" s="2">
        <v>3600</v>
      </c>
      <c r="K612">
        <v>4</v>
      </c>
      <c r="L612" s="2">
        <v>0</v>
      </c>
      <c r="M612" s="2">
        <v>1007.61</v>
      </c>
      <c r="N612" t="s">
        <v>45</v>
      </c>
      <c r="O612" t="s">
        <v>105</v>
      </c>
      <c r="P612" t="s">
        <v>26</v>
      </c>
    </row>
    <row r="613" spans="1:16" x14ac:dyDescent="0.3">
      <c r="A613" t="s">
        <v>573</v>
      </c>
      <c r="B613" s="1">
        <v>45871</v>
      </c>
      <c r="C613" t="s">
        <v>398</v>
      </c>
      <c r="D613" t="s">
        <v>96</v>
      </c>
      <c r="E613" t="s">
        <v>97</v>
      </c>
      <c r="F613" t="s">
        <v>20</v>
      </c>
      <c r="G613" t="s">
        <v>76</v>
      </c>
      <c r="H613" t="s">
        <v>77</v>
      </c>
      <c r="I613" t="s">
        <v>78</v>
      </c>
      <c r="J613" s="2">
        <v>4560</v>
      </c>
      <c r="K613">
        <v>2</v>
      </c>
      <c r="L613" s="2">
        <v>0.05</v>
      </c>
      <c r="M613" s="2">
        <v>904.79</v>
      </c>
      <c r="N613" t="s">
        <v>45</v>
      </c>
      <c r="O613" t="s">
        <v>108</v>
      </c>
      <c r="P613" t="s">
        <v>55</v>
      </c>
    </row>
    <row r="614" spans="1:16" x14ac:dyDescent="0.3">
      <c r="A614" t="s">
        <v>1172</v>
      </c>
      <c r="B614" s="1">
        <v>46219</v>
      </c>
      <c r="C614" t="s">
        <v>28</v>
      </c>
      <c r="D614" t="s">
        <v>50</v>
      </c>
      <c r="E614" t="s">
        <v>51</v>
      </c>
      <c r="F614" t="s">
        <v>52</v>
      </c>
      <c r="G614" t="s">
        <v>21</v>
      </c>
      <c r="H614" t="s">
        <v>22</v>
      </c>
      <c r="I614" t="s">
        <v>111</v>
      </c>
      <c r="J614" s="2">
        <v>810</v>
      </c>
      <c r="K614">
        <v>3</v>
      </c>
      <c r="L614" s="2">
        <v>0.1</v>
      </c>
      <c r="M614" s="2">
        <v>73.739999999999995</v>
      </c>
      <c r="N614" t="s">
        <v>35</v>
      </c>
      <c r="O614" t="s">
        <v>135</v>
      </c>
      <c r="P614" t="s">
        <v>26</v>
      </c>
    </row>
    <row r="615" spans="1:16" x14ac:dyDescent="0.3">
      <c r="A615" t="s">
        <v>266</v>
      </c>
      <c r="B615" s="1">
        <v>45732</v>
      </c>
      <c r="C615" t="s">
        <v>186</v>
      </c>
      <c r="D615" t="s">
        <v>74</v>
      </c>
      <c r="E615" t="s">
        <v>75</v>
      </c>
      <c r="F615" t="s">
        <v>20</v>
      </c>
      <c r="G615" t="s">
        <v>61</v>
      </c>
      <c r="H615" t="s">
        <v>98</v>
      </c>
      <c r="I615" t="s">
        <v>99</v>
      </c>
      <c r="J615" s="2">
        <v>120000</v>
      </c>
      <c r="K615">
        <v>4</v>
      </c>
      <c r="L615" s="2">
        <v>0</v>
      </c>
      <c r="M615" s="2">
        <v>26994.89</v>
      </c>
      <c r="N615" t="s">
        <v>114</v>
      </c>
      <c r="O615" t="s">
        <v>108</v>
      </c>
      <c r="P615" t="s">
        <v>55</v>
      </c>
    </row>
    <row r="616" spans="1:16" x14ac:dyDescent="0.3">
      <c r="A616" t="s">
        <v>447</v>
      </c>
      <c r="B616" s="1">
        <v>45798</v>
      </c>
      <c r="C616" t="s">
        <v>127</v>
      </c>
      <c r="D616" t="s">
        <v>96</v>
      </c>
      <c r="E616" t="s">
        <v>97</v>
      </c>
      <c r="F616" t="s">
        <v>20</v>
      </c>
      <c r="G616" t="s">
        <v>61</v>
      </c>
      <c r="H616" t="s">
        <v>62</v>
      </c>
      <c r="I616" t="s">
        <v>70</v>
      </c>
      <c r="J616" s="2">
        <v>9000</v>
      </c>
      <c r="K616">
        <v>5</v>
      </c>
      <c r="L616" s="2">
        <v>0</v>
      </c>
      <c r="M616" s="2">
        <v>1262.1199999999999</v>
      </c>
      <c r="N616" t="s">
        <v>24</v>
      </c>
      <c r="O616" t="s">
        <v>86</v>
      </c>
      <c r="P616" t="s">
        <v>26</v>
      </c>
    </row>
    <row r="617" spans="1:16" x14ac:dyDescent="0.3">
      <c r="A617" t="s">
        <v>1092</v>
      </c>
      <c r="B617" s="1">
        <v>46169</v>
      </c>
      <c r="C617" t="s">
        <v>251</v>
      </c>
      <c r="D617" t="s">
        <v>91</v>
      </c>
      <c r="E617" t="s">
        <v>91</v>
      </c>
      <c r="F617" t="s">
        <v>60</v>
      </c>
      <c r="G617" t="s">
        <v>76</v>
      </c>
      <c r="H617" t="s">
        <v>77</v>
      </c>
      <c r="I617" t="s">
        <v>171</v>
      </c>
      <c r="J617" s="2">
        <v>8000</v>
      </c>
      <c r="K617">
        <v>5</v>
      </c>
      <c r="L617" s="2">
        <v>0</v>
      </c>
      <c r="M617" s="2">
        <v>724.52</v>
      </c>
      <c r="N617" t="s">
        <v>35</v>
      </c>
      <c r="O617" t="s">
        <v>79</v>
      </c>
      <c r="P617" t="s">
        <v>47</v>
      </c>
    </row>
    <row r="618" spans="1:16" x14ac:dyDescent="0.3">
      <c r="A618" t="s">
        <v>1032</v>
      </c>
      <c r="B618" s="1">
        <v>46137</v>
      </c>
      <c r="C618" t="s">
        <v>307</v>
      </c>
      <c r="D618" t="s">
        <v>173</v>
      </c>
      <c r="E618" t="s">
        <v>174</v>
      </c>
      <c r="F618" t="s">
        <v>60</v>
      </c>
      <c r="G618" t="s">
        <v>21</v>
      </c>
      <c r="H618" t="s">
        <v>175</v>
      </c>
      <c r="I618" t="s">
        <v>176</v>
      </c>
      <c r="J618" s="2">
        <v>2600</v>
      </c>
      <c r="K618">
        <v>4</v>
      </c>
      <c r="L618" s="2">
        <v>0</v>
      </c>
      <c r="M618" s="2">
        <v>373.79</v>
      </c>
      <c r="N618" t="s">
        <v>24</v>
      </c>
      <c r="O618" t="s">
        <v>25</v>
      </c>
      <c r="P618" t="s">
        <v>47</v>
      </c>
    </row>
    <row r="619" spans="1:16" x14ac:dyDescent="0.3">
      <c r="A619" t="s">
        <v>727</v>
      </c>
      <c r="B619" s="1">
        <v>45947</v>
      </c>
      <c r="C619" t="s">
        <v>728</v>
      </c>
      <c r="D619" t="s">
        <v>82</v>
      </c>
      <c r="E619" t="s">
        <v>83</v>
      </c>
      <c r="F619" t="s">
        <v>52</v>
      </c>
      <c r="G619" t="s">
        <v>32</v>
      </c>
      <c r="H619" t="s">
        <v>92</v>
      </c>
      <c r="I619" t="s">
        <v>93</v>
      </c>
      <c r="J619" s="2">
        <v>34500</v>
      </c>
      <c r="K619">
        <v>3</v>
      </c>
      <c r="L619" s="2">
        <v>0</v>
      </c>
      <c r="M619" s="2">
        <v>7572.28</v>
      </c>
      <c r="N619" t="s">
        <v>45</v>
      </c>
      <c r="O619" t="s">
        <v>79</v>
      </c>
      <c r="P619" t="s">
        <v>47</v>
      </c>
    </row>
    <row r="620" spans="1:16" x14ac:dyDescent="0.3">
      <c r="A620" t="s">
        <v>1325</v>
      </c>
      <c r="B620" s="1">
        <v>46331</v>
      </c>
      <c r="C620" t="s">
        <v>725</v>
      </c>
      <c r="D620" t="s">
        <v>18</v>
      </c>
      <c r="E620" t="s">
        <v>19</v>
      </c>
      <c r="F620" t="s">
        <v>20</v>
      </c>
      <c r="G620" t="s">
        <v>61</v>
      </c>
      <c r="H620" t="s">
        <v>98</v>
      </c>
      <c r="I620" t="s">
        <v>99</v>
      </c>
      <c r="J620" s="2">
        <v>114000</v>
      </c>
      <c r="K620">
        <v>4</v>
      </c>
      <c r="L620" s="2">
        <v>0.05</v>
      </c>
      <c r="M620" s="2">
        <v>10087.64</v>
      </c>
      <c r="N620" t="s">
        <v>35</v>
      </c>
      <c r="O620" t="s">
        <v>135</v>
      </c>
      <c r="P620" t="s">
        <v>26</v>
      </c>
    </row>
    <row r="621" spans="1:16" x14ac:dyDescent="0.3">
      <c r="A621" t="s">
        <v>631</v>
      </c>
      <c r="B621" s="1">
        <v>45894</v>
      </c>
      <c r="C621" t="s">
        <v>632</v>
      </c>
      <c r="D621" t="s">
        <v>58</v>
      </c>
      <c r="E621" t="s">
        <v>59</v>
      </c>
      <c r="F621" t="s">
        <v>60</v>
      </c>
      <c r="G621" t="s">
        <v>61</v>
      </c>
      <c r="H621" t="s">
        <v>128</v>
      </c>
      <c r="I621" t="s">
        <v>195</v>
      </c>
      <c r="J621" s="2">
        <v>330600</v>
      </c>
      <c r="K621">
        <v>6</v>
      </c>
      <c r="L621" s="2">
        <v>0.05</v>
      </c>
      <c r="M621" s="2">
        <v>28187.71</v>
      </c>
      <c r="N621" t="s">
        <v>45</v>
      </c>
      <c r="O621" t="s">
        <v>65</v>
      </c>
      <c r="P621" t="s">
        <v>26</v>
      </c>
    </row>
    <row r="622" spans="1:16" x14ac:dyDescent="0.3">
      <c r="A622" t="s">
        <v>330</v>
      </c>
      <c r="B622" s="1">
        <v>45749</v>
      </c>
      <c r="C622" t="s">
        <v>307</v>
      </c>
      <c r="D622" t="s">
        <v>119</v>
      </c>
      <c r="E622" t="s">
        <v>75</v>
      </c>
      <c r="F622" t="s">
        <v>20</v>
      </c>
      <c r="G622" t="s">
        <v>42</v>
      </c>
      <c r="H622" t="s">
        <v>53</v>
      </c>
      <c r="I622" t="s">
        <v>54</v>
      </c>
      <c r="J622" s="2">
        <v>3600</v>
      </c>
      <c r="K622">
        <v>2</v>
      </c>
      <c r="L622" s="2">
        <v>0</v>
      </c>
      <c r="M622" s="2">
        <v>862.89</v>
      </c>
      <c r="N622" t="s">
        <v>24</v>
      </c>
      <c r="O622" t="s">
        <v>105</v>
      </c>
      <c r="P622" t="s">
        <v>47</v>
      </c>
    </row>
    <row r="623" spans="1:16" x14ac:dyDescent="0.3">
      <c r="A623" t="s">
        <v>842</v>
      </c>
      <c r="B623" s="1">
        <v>46024</v>
      </c>
      <c r="C623" t="s">
        <v>155</v>
      </c>
      <c r="D623" t="s">
        <v>82</v>
      </c>
      <c r="E623" t="s">
        <v>83</v>
      </c>
      <c r="F623" t="s">
        <v>52</v>
      </c>
      <c r="G623" t="s">
        <v>76</v>
      </c>
      <c r="H623" t="s">
        <v>122</v>
      </c>
      <c r="I623" t="s">
        <v>217</v>
      </c>
      <c r="J623" s="2">
        <v>6840</v>
      </c>
      <c r="K623">
        <v>4</v>
      </c>
      <c r="L623" s="2">
        <v>0.05</v>
      </c>
      <c r="M623" s="2">
        <v>1290.4100000000001</v>
      </c>
      <c r="N623" t="s">
        <v>24</v>
      </c>
      <c r="O623" t="s">
        <v>135</v>
      </c>
      <c r="P623" t="s">
        <v>55</v>
      </c>
    </row>
    <row r="624" spans="1:16" x14ac:dyDescent="0.3">
      <c r="A624" t="s">
        <v>1103</v>
      </c>
      <c r="B624" s="1">
        <v>46178</v>
      </c>
      <c r="C624" t="s">
        <v>268</v>
      </c>
      <c r="D624" t="s">
        <v>18</v>
      </c>
      <c r="E624" t="s">
        <v>19</v>
      </c>
      <c r="F624" t="s">
        <v>20</v>
      </c>
      <c r="G624" t="s">
        <v>76</v>
      </c>
      <c r="H624" t="s">
        <v>77</v>
      </c>
      <c r="I624" t="s">
        <v>78</v>
      </c>
      <c r="J624" s="2">
        <v>11400</v>
      </c>
      <c r="K624">
        <v>5</v>
      </c>
      <c r="L624" s="2">
        <v>0.05</v>
      </c>
      <c r="M624" s="2">
        <v>1345.98</v>
      </c>
      <c r="N624" t="s">
        <v>35</v>
      </c>
      <c r="O624" t="s">
        <v>36</v>
      </c>
      <c r="P624" t="s">
        <v>26</v>
      </c>
    </row>
    <row r="625" spans="1:16" x14ac:dyDescent="0.3">
      <c r="A625" t="s">
        <v>1128</v>
      </c>
      <c r="B625" s="1">
        <v>46196</v>
      </c>
      <c r="C625" t="s">
        <v>927</v>
      </c>
      <c r="D625" t="s">
        <v>58</v>
      </c>
      <c r="E625" t="s">
        <v>59</v>
      </c>
      <c r="F625" t="s">
        <v>60</v>
      </c>
      <c r="G625" t="s">
        <v>61</v>
      </c>
      <c r="H625" t="s">
        <v>62</v>
      </c>
      <c r="I625" t="s">
        <v>70</v>
      </c>
      <c r="J625" s="2">
        <v>6480</v>
      </c>
      <c r="K625">
        <v>4</v>
      </c>
      <c r="L625" s="2">
        <v>0.1</v>
      </c>
      <c r="M625" s="2">
        <v>1623.26</v>
      </c>
      <c r="N625" t="s">
        <v>24</v>
      </c>
      <c r="O625" t="s">
        <v>135</v>
      </c>
      <c r="P625" t="s">
        <v>55</v>
      </c>
    </row>
    <row r="626" spans="1:16" x14ac:dyDescent="0.3">
      <c r="A626" t="s">
        <v>362</v>
      </c>
      <c r="B626" s="1">
        <v>45762</v>
      </c>
      <c r="C626" t="s">
        <v>211</v>
      </c>
      <c r="D626" t="s">
        <v>96</v>
      </c>
      <c r="E626" t="s">
        <v>97</v>
      </c>
      <c r="F626" t="s">
        <v>20</v>
      </c>
      <c r="G626" t="s">
        <v>76</v>
      </c>
      <c r="H626" t="s">
        <v>77</v>
      </c>
      <c r="I626" t="s">
        <v>78</v>
      </c>
      <c r="J626" s="2">
        <v>13680</v>
      </c>
      <c r="K626">
        <v>6</v>
      </c>
      <c r="L626" s="2">
        <v>0.05</v>
      </c>
      <c r="M626" s="2">
        <v>1331.59</v>
      </c>
      <c r="N626" t="s">
        <v>35</v>
      </c>
      <c r="O626" t="s">
        <v>79</v>
      </c>
      <c r="P626" t="s">
        <v>47</v>
      </c>
    </row>
    <row r="627" spans="1:16" x14ac:dyDescent="0.3">
      <c r="A627" t="s">
        <v>814</v>
      </c>
      <c r="B627" s="1">
        <v>46006</v>
      </c>
      <c r="C627" t="s">
        <v>694</v>
      </c>
      <c r="D627" t="s">
        <v>50</v>
      </c>
      <c r="E627" t="s">
        <v>51</v>
      </c>
      <c r="F627" t="s">
        <v>52</v>
      </c>
      <c r="G627" t="s">
        <v>32</v>
      </c>
      <c r="H627" t="s">
        <v>84</v>
      </c>
      <c r="I627" t="s">
        <v>85</v>
      </c>
      <c r="J627" s="2">
        <v>53125</v>
      </c>
      <c r="K627">
        <v>5</v>
      </c>
      <c r="L627" s="2">
        <v>0.15</v>
      </c>
      <c r="M627" s="2">
        <v>10450.040000000001</v>
      </c>
      <c r="N627" t="s">
        <v>35</v>
      </c>
      <c r="O627" t="s">
        <v>46</v>
      </c>
      <c r="P627" t="s">
        <v>26</v>
      </c>
    </row>
    <row r="628" spans="1:16" x14ac:dyDescent="0.3">
      <c r="A628" t="s">
        <v>476</v>
      </c>
      <c r="B628" s="1">
        <v>45812</v>
      </c>
      <c r="C628" t="s">
        <v>477</v>
      </c>
      <c r="D628" t="s">
        <v>82</v>
      </c>
      <c r="E628" t="s">
        <v>83</v>
      </c>
      <c r="F628" t="s">
        <v>52</v>
      </c>
      <c r="G628" t="s">
        <v>32</v>
      </c>
      <c r="H628" t="s">
        <v>33</v>
      </c>
      <c r="I628" t="s">
        <v>34</v>
      </c>
      <c r="J628" s="2">
        <v>37200</v>
      </c>
      <c r="K628">
        <v>6</v>
      </c>
      <c r="L628" s="2">
        <v>0</v>
      </c>
      <c r="M628" s="2">
        <v>9127.9</v>
      </c>
      <c r="N628" t="s">
        <v>24</v>
      </c>
      <c r="O628" t="s">
        <v>25</v>
      </c>
      <c r="P628" t="s">
        <v>47</v>
      </c>
    </row>
    <row r="629" spans="1:16" x14ac:dyDescent="0.3">
      <c r="A629" t="s">
        <v>308</v>
      </c>
      <c r="B629" s="1">
        <v>45744</v>
      </c>
      <c r="C629" t="s">
        <v>309</v>
      </c>
      <c r="D629" t="s">
        <v>18</v>
      </c>
      <c r="E629" t="s">
        <v>19</v>
      </c>
      <c r="F629" t="s">
        <v>20</v>
      </c>
      <c r="G629" t="s">
        <v>61</v>
      </c>
      <c r="H629" t="s">
        <v>128</v>
      </c>
      <c r="I629" t="s">
        <v>129</v>
      </c>
      <c r="J629" s="2">
        <v>280800</v>
      </c>
      <c r="K629">
        <v>6</v>
      </c>
      <c r="L629" s="2">
        <v>0.1</v>
      </c>
      <c r="M629" s="2">
        <v>24991</v>
      </c>
      <c r="N629" t="s">
        <v>114</v>
      </c>
      <c r="O629" t="s">
        <v>79</v>
      </c>
      <c r="P629" t="s">
        <v>47</v>
      </c>
    </row>
    <row r="630" spans="1:16" x14ac:dyDescent="0.3">
      <c r="A630" t="s">
        <v>89</v>
      </c>
      <c r="B630" s="1">
        <v>45665</v>
      </c>
      <c r="C630" t="s">
        <v>90</v>
      </c>
      <c r="D630" t="s">
        <v>91</v>
      </c>
      <c r="E630" t="s">
        <v>91</v>
      </c>
      <c r="F630" t="s">
        <v>60</v>
      </c>
      <c r="G630" t="s">
        <v>32</v>
      </c>
      <c r="H630" t="s">
        <v>92</v>
      </c>
      <c r="I630" t="s">
        <v>93</v>
      </c>
      <c r="J630" s="2">
        <v>62100</v>
      </c>
      <c r="K630">
        <v>6</v>
      </c>
      <c r="L630" s="2">
        <v>0.1</v>
      </c>
      <c r="M630" s="2">
        <v>8040.29</v>
      </c>
      <c r="N630" t="s">
        <v>45</v>
      </c>
      <c r="O630" t="s">
        <v>25</v>
      </c>
      <c r="P630" t="s">
        <v>47</v>
      </c>
    </row>
    <row r="631" spans="1:16" x14ac:dyDescent="0.3">
      <c r="A631" t="s">
        <v>692</v>
      </c>
      <c r="B631" s="1">
        <v>45930</v>
      </c>
      <c r="C631" t="s">
        <v>472</v>
      </c>
      <c r="D631" t="s">
        <v>82</v>
      </c>
      <c r="E631" t="s">
        <v>83</v>
      </c>
      <c r="F631" t="s">
        <v>52</v>
      </c>
      <c r="G631" t="s">
        <v>21</v>
      </c>
      <c r="H631" t="s">
        <v>22</v>
      </c>
      <c r="I631" t="s">
        <v>23</v>
      </c>
      <c r="J631" s="2">
        <v>1350</v>
      </c>
      <c r="K631">
        <v>3</v>
      </c>
      <c r="L631" s="2">
        <v>0</v>
      </c>
      <c r="M631" s="2">
        <v>205.97</v>
      </c>
      <c r="N631" t="s">
        <v>24</v>
      </c>
      <c r="O631" t="s">
        <v>79</v>
      </c>
      <c r="P631" t="s">
        <v>26</v>
      </c>
    </row>
    <row r="632" spans="1:16" x14ac:dyDescent="0.3">
      <c r="A632" t="s">
        <v>380</v>
      </c>
      <c r="B632" s="1">
        <v>45772</v>
      </c>
      <c r="C632" t="s">
        <v>333</v>
      </c>
      <c r="D632" t="s">
        <v>91</v>
      </c>
      <c r="E632" t="s">
        <v>91</v>
      </c>
      <c r="F632" t="s">
        <v>60</v>
      </c>
      <c r="G632" t="s">
        <v>32</v>
      </c>
      <c r="H632" t="s">
        <v>84</v>
      </c>
      <c r="I632" t="s">
        <v>140</v>
      </c>
      <c r="J632" s="2">
        <v>33750</v>
      </c>
      <c r="K632">
        <v>5</v>
      </c>
      <c r="L632" s="2">
        <v>0.1</v>
      </c>
      <c r="M632" s="2">
        <v>4626.08</v>
      </c>
      <c r="N632" t="s">
        <v>24</v>
      </c>
      <c r="O632" t="s">
        <v>36</v>
      </c>
      <c r="P632" t="s">
        <v>55</v>
      </c>
    </row>
    <row r="633" spans="1:16" x14ac:dyDescent="0.3">
      <c r="A633" t="s">
        <v>1346</v>
      </c>
      <c r="B633" s="1">
        <v>46346</v>
      </c>
      <c r="C633" t="s">
        <v>642</v>
      </c>
      <c r="D633" t="s">
        <v>173</v>
      </c>
      <c r="E633" t="s">
        <v>174</v>
      </c>
      <c r="F633" t="s">
        <v>60</v>
      </c>
      <c r="G633" t="s">
        <v>32</v>
      </c>
      <c r="H633" t="s">
        <v>84</v>
      </c>
      <c r="I633" t="s">
        <v>140</v>
      </c>
      <c r="J633" s="2">
        <v>7125</v>
      </c>
      <c r="K633">
        <v>1</v>
      </c>
      <c r="L633" s="2">
        <v>0.05</v>
      </c>
      <c r="M633" s="2">
        <v>1493.84</v>
      </c>
      <c r="N633" t="s">
        <v>45</v>
      </c>
      <c r="O633" t="s">
        <v>79</v>
      </c>
      <c r="P633" t="s">
        <v>55</v>
      </c>
    </row>
    <row r="634" spans="1:16" x14ac:dyDescent="0.3">
      <c r="A634" t="s">
        <v>513</v>
      </c>
      <c r="B634" s="1">
        <v>45837</v>
      </c>
      <c r="C634" t="s">
        <v>257</v>
      </c>
      <c r="D634" t="s">
        <v>104</v>
      </c>
      <c r="E634" t="s">
        <v>83</v>
      </c>
      <c r="F634" t="s">
        <v>52</v>
      </c>
      <c r="G634" t="s">
        <v>61</v>
      </c>
      <c r="H634" t="s">
        <v>128</v>
      </c>
      <c r="I634" t="s">
        <v>129</v>
      </c>
      <c r="J634" s="2">
        <v>280800</v>
      </c>
      <c r="K634">
        <v>6</v>
      </c>
      <c r="L634" s="2">
        <v>0.1</v>
      </c>
      <c r="M634" s="2">
        <v>36442.6</v>
      </c>
      <c r="N634" t="s">
        <v>24</v>
      </c>
      <c r="O634" t="s">
        <v>65</v>
      </c>
      <c r="P634" t="s">
        <v>55</v>
      </c>
    </row>
    <row r="635" spans="1:16" x14ac:dyDescent="0.3">
      <c r="A635" t="s">
        <v>80</v>
      </c>
      <c r="B635" s="1">
        <v>45664</v>
      </c>
      <c r="C635" t="s">
        <v>81</v>
      </c>
      <c r="D635" t="s">
        <v>82</v>
      </c>
      <c r="E635" t="s">
        <v>83</v>
      </c>
      <c r="F635" t="s">
        <v>52</v>
      </c>
      <c r="G635" t="s">
        <v>32</v>
      </c>
      <c r="H635" t="s">
        <v>84</v>
      </c>
      <c r="I635" t="s">
        <v>85</v>
      </c>
      <c r="J635" s="2">
        <v>11875</v>
      </c>
      <c r="K635">
        <v>1</v>
      </c>
      <c r="L635" s="2">
        <v>0.05</v>
      </c>
      <c r="M635" s="2">
        <v>3283.33</v>
      </c>
      <c r="N635" t="s">
        <v>35</v>
      </c>
      <c r="O635" t="s">
        <v>86</v>
      </c>
      <c r="P635" t="s">
        <v>26</v>
      </c>
    </row>
    <row r="636" spans="1:16" x14ac:dyDescent="0.3">
      <c r="A636" t="s">
        <v>922</v>
      </c>
      <c r="B636" s="1">
        <v>46072</v>
      </c>
      <c r="C636" t="s">
        <v>73</v>
      </c>
      <c r="D636" t="s">
        <v>91</v>
      </c>
      <c r="E636" t="s">
        <v>91</v>
      </c>
      <c r="F636" t="s">
        <v>60</v>
      </c>
      <c r="G636" t="s">
        <v>76</v>
      </c>
      <c r="H636" t="s">
        <v>77</v>
      </c>
      <c r="I636" t="s">
        <v>171</v>
      </c>
      <c r="J636" s="2">
        <v>5440</v>
      </c>
      <c r="K636">
        <v>4</v>
      </c>
      <c r="L636" s="2">
        <v>0.15</v>
      </c>
      <c r="M636" s="2">
        <v>1335.95</v>
      </c>
      <c r="N636" t="s">
        <v>24</v>
      </c>
      <c r="O636" t="s">
        <v>86</v>
      </c>
      <c r="P636" t="s">
        <v>55</v>
      </c>
    </row>
    <row r="637" spans="1:16" x14ac:dyDescent="0.3">
      <c r="A637" t="s">
        <v>1313</v>
      </c>
      <c r="B637" s="1">
        <v>46322</v>
      </c>
      <c r="C637" t="s">
        <v>351</v>
      </c>
      <c r="D637" t="s">
        <v>119</v>
      </c>
      <c r="E637" t="s">
        <v>75</v>
      </c>
      <c r="F637" t="s">
        <v>20</v>
      </c>
      <c r="G637" t="s">
        <v>42</v>
      </c>
      <c r="H637" t="s">
        <v>279</v>
      </c>
      <c r="I637" t="s">
        <v>280</v>
      </c>
      <c r="J637" s="2">
        <v>59375</v>
      </c>
      <c r="K637">
        <v>5</v>
      </c>
      <c r="L637" s="2">
        <v>0.05</v>
      </c>
      <c r="M637" s="2">
        <v>15440.09</v>
      </c>
      <c r="N637" t="s">
        <v>114</v>
      </c>
      <c r="O637" t="s">
        <v>105</v>
      </c>
      <c r="P637" t="s">
        <v>47</v>
      </c>
    </row>
    <row r="638" spans="1:16" x14ac:dyDescent="0.3">
      <c r="A638" t="s">
        <v>936</v>
      </c>
      <c r="B638" s="1">
        <v>46079</v>
      </c>
      <c r="C638" t="s">
        <v>937</v>
      </c>
      <c r="D638" t="s">
        <v>50</v>
      </c>
      <c r="E638" t="s">
        <v>51</v>
      </c>
      <c r="F638" t="s">
        <v>52</v>
      </c>
      <c r="G638" t="s">
        <v>61</v>
      </c>
      <c r="H638" t="s">
        <v>62</v>
      </c>
      <c r="I638" t="s">
        <v>63</v>
      </c>
      <c r="J638" s="2">
        <v>3240</v>
      </c>
      <c r="K638">
        <v>4</v>
      </c>
      <c r="L638" s="2">
        <v>0.1</v>
      </c>
      <c r="M638" s="2">
        <v>632.44000000000005</v>
      </c>
      <c r="N638" t="s">
        <v>114</v>
      </c>
      <c r="O638" t="s">
        <v>46</v>
      </c>
      <c r="P638" t="s">
        <v>26</v>
      </c>
    </row>
    <row r="639" spans="1:16" x14ac:dyDescent="0.3">
      <c r="A639" t="s">
        <v>547</v>
      </c>
      <c r="B639" s="1">
        <v>45861</v>
      </c>
      <c r="C639" t="s">
        <v>160</v>
      </c>
      <c r="D639" t="s">
        <v>152</v>
      </c>
      <c r="E639" t="s">
        <v>153</v>
      </c>
      <c r="F639" t="s">
        <v>20</v>
      </c>
      <c r="G639" t="s">
        <v>21</v>
      </c>
      <c r="H639" t="s">
        <v>22</v>
      </c>
      <c r="I639" t="s">
        <v>111</v>
      </c>
      <c r="J639" s="2">
        <v>270</v>
      </c>
      <c r="K639">
        <v>1</v>
      </c>
      <c r="L639" s="2">
        <v>0.1</v>
      </c>
      <c r="M639" s="2">
        <v>54.09</v>
      </c>
      <c r="N639" t="s">
        <v>45</v>
      </c>
      <c r="O639" t="s">
        <v>86</v>
      </c>
      <c r="P639" t="s">
        <v>55</v>
      </c>
    </row>
    <row r="640" spans="1:16" x14ac:dyDescent="0.3">
      <c r="A640" t="s">
        <v>560</v>
      </c>
      <c r="B640" s="1">
        <v>45865</v>
      </c>
      <c r="C640" t="s">
        <v>561</v>
      </c>
      <c r="D640" t="s">
        <v>68</v>
      </c>
      <c r="E640" t="s">
        <v>69</v>
      </c>
      <c r="F640" t="s">
        <v>41</v>
      </c>
      <c r="G640" t="s">
        <v>76</v>
      </c>
      <c r="H640" t="s">
        <v>77</v>
      </c>
      <c r="I640" t="s">
        <v>171</v>
      </c>
      <c r="J640" s="2">
        <v>4080</v>
      </c>
      <c r="K640">
        <v>3</v>
      </c>
      <c r="L640" s="2">
        <v>0.15</v>
      </c>
      <c r="M640" s="2">
        <v>712.82</v>
      </c>
      <c r="N640" t="s">
        <v>114</v>
      </c>
      <c r="O640" t="s">
        <v>36</v>
      </c>
      <c r="P640" t="s">
        <v>47</v>
      </c>
    </row>
    <row r="641" spans="1:16" x14ac:dyDescent="0.3">
      <c r="A641" t="s">
        <v>1228</v>
      </c>
      <c r="B641" s="1">
        <v>46265</v>
      </c>
      <c r="C641" t="s">
        <v>190</v>
      </c>
      <c r="D641" t="s">
        <v>96</v>
      </c>
      <c r="E641" t="s">
        <v>97</v>
      </c>
      <c r="F641" t="s">
        <v>20</v>
      </c>
      <c r="G641" t="s">
        <v>32</v>
      </c>
      <c r="H641" t="s">
        <v>84</v>
      </c>
      <c r="I641" t="s">
        <v>85</v>
      </c>
      <c r="J641" s="2">
        <v>12500</v>
      </c>
      <c r="K641">
        <v>1</v>
      </c>
      <c r="L641" s="2">
        <v>0</v>
      </c>
      <c r="M641" s="2">
        <v>1777.52</v>
      </c>
      <c r="N641" t="s">
        <v>35</v>
      </c>
      <c r="O641" t="s">
        <v>65</v>
      </c>
      <c r="P641" t="s">
        <v>55</v>
      </c>
    </row>
    <row r="642" spans="1:16" x14ac:dyDescent="0.3">
      <c r="A642" t="s">
        <v>341</v>
      </c>
      <c r="B642" s="1">
        <v>45753</v>
      </c>
      <c r="C642" t="s">
        <v>67</v>
      </c>
      <c r="D642" t="s">
        <v>166</v>
      </c>
      <c r="E642" t="s">
        <v>75</v>
      </c>
      <c r="F642" t="s">
        <v>20</v>
      </c>
      <c r="G642" t="s">
        <v>61</v>
      </c>
      <c r="H642" t="s">
        <v>62</v>
      </c>
      <c r="I642" t="s">
        <v>70</v>
      </c>
      <c r="J642" s="2">
        <v>1800</v>
      </c>
      <c r="K642">
        <v>1</v>
      </c>
      <c r="L642" s="2">
        <v>0</v>
      </c>
      <c r="M642" s="2">
        <v>485.12</v>
      </c>
      <c r="N642" t="s">
        <v>45</v>
      </c>
      <c r="O642" t="s">
        <v>108</v>
      </c>
      <c r="P642" t="s">
        <v>26</v>
      </c>
    </row>
    <row r="643" spans="1:16" x14ac:dyDescent="0.3">
      <c r="A643" t="s">
        <v>589</v>
      </c>
      <c r="B643" s="1">
        <v>45878</v>
      </c>
      <c r="C643" t="s">
        <v>590</v>
      </c>
      <c r="D643" t="s">
        <v>68</v>
      </c>
      <c r="E643" t="s">
        <v>69</v>
      </c>
      <c r="F643" t="s">
        <v>41</v>
      </c>
      <c r="G643" t="s">
        <v>61</v>
      </c>
      <c r="H643" t="s">
        <v>62</v>
      </c>
      <c r="I643" t="s">
        <v>70</v>
      </c>
      <c r="J643" s="2">
        <v>4860</v>
      </c>
      <c r="K643">
        <v>3</v>
      </c>
      <c r="L643" s="2">
        <v>0.1</v>
      </c>
      <c r="M643" s="2">
        <v>686.19</v>
      </c>
      <c r="N643" t="s">
        <v>45</v>
      </c>
      <c r="O643" t="s">
        <v>65</v>
      </c>
      <c r="P643" t="s">
        <v>55</v>
      </c>
    </row>
    <row r="644" spans="1:16" x14ac:dyDescent="0.3">
      <c r="A644" t="s">
        <v>220</v>
      </c>
      <c r="B644" s="1">
        <v>45711</v>
      </c>
      <c r="C644" t="s">
        <v>221</v>
      </c>
      <c r="D644" t="s">
        <v>173</v>
      </c>
      <c r="E644" t="s">
        <v>174</v>
      </c>
      <c r="F644" t="s">
        <v>60</v>
      </c>
      <c r="G644" t="s">
        <v>21</v>
      </c>
      <c r="H644" t="s">
        <v>22</v>
      </c>
      <c r="I644" t="s">
        <v>111</v>
      </c>
      <c r="J644" s="2">
        <v>480</v>
      </c>
      <c r="K644">
        <v>2</v>
      </c>
      <c r="L644" s="2">
        <v>0.2</v>
      </c>
      <c r="M644" s="2">
        <v>79.47</v>
      </c>
      <c r="N644" t="s">
        <v>35</v>
      </c>
      <c r="O644" t="s">
        <v>46</v>
      </c>
      <c r="P644" t="s">
        <v>47</v>
      </c>
    </row>
    <row r="645" spans="1:16" x14ac:dyDescent="0.3">
      <c r="A645" t="s">
        <v>930</v>
      </c>
      <c r="B645" s="1">
        <v>46075</v>
      </c>
      <c r="C645" t="s">
        <v>192</v>
      </c>
      <c r="D645" t="s">
        <v>119</v>
      </c>
      <c r="E645" t="s">
        <v>75</v>
      </c>
      <c r="F645" t="s">
        <v>20</v>
      </c>
      <c r="G645" t="s">
        <v>61</v>
      </c>
      <c r="H645" t="s">
        <v>62</v>
      </c>
      <c r="I645" t="s">
        <v>70</v>
      </c>
      <c r="J645" s="2">
        <v>9720</v>
      </c>
      <c r="K645">
        <v>6</v>
      </c>
      <c r="L645" s="2">
        <v>0.1</v>
      </c>
      <c r="M645" s="2">
        <v>1513.72</v>
      </c>
      <c r="N645" t="s">
        <v>24</v>
      </c>
      <c r="O645" t="s">
        <v>25</v>
      </c>
      <c r="P645" t="s">
        <v>55</v>
      </c>
    </row>
    <row r="646" spans="1:16" x14ac:dyDescent="0.3">
      <c r="A646" t="s">
        <v>505</v>
      </c>
      <c r="B646" s="1">
        <v>45834</v>
      </c>
      <c r="C646" t="s">
        <v>314</v>
      </c>
      <c r="D646" t="s">
        <v>58</v>
      </c>
      <c r="E646" t="s">
        <v>59</v>
      </c>
      <c r="F646" t="s">
        <v>60</v>
      </c>
      <c r="G646" t="s">
        <v>21</v>
      </c>
      <c r="H646" t="s">
        <v>175</v>
      </c>
      <c r="I646" t="s">
        <v>176</v>
      </c>
      <c r="J646" s="2">
        <v>1105</v>
      </c>
      <c r="K646">
        <v>2</v>
      </c>
      <c r="L646" s="2">
        <v>0.15</v>
      </c>
      <c r="M646" s="2">
        <v>154.59</v>
      </c>
      <c r="N646" t="s">
        <v>35</v>
      </c>
      <c r="O646" t="s">
        <v>79</v>
      </c>
      <c r="P646" t="s">
        <v>47</v>
      </c>
    </row>
    <row r="647" spans="1:16" x14ac:dyDescent="0.3">
      <c r="A647" t="s">
        <v>548</v>
      </c>
      <c r="B647" s="1">
        <v>45861</v>
      </c>
      <c r="C647" t="s">
        <v>549</v>
      </c>
      <c r="D647" t="s">
        <v>50</v>
      </c>
      <c r="E647" t="s">
        <v>51</v>
      </c>
      <c r="F647" t="s">
        <v>52</v>
      </c>
      <c r="G647" t="s">
        <v>21</v>
      </c>
      <c r="H647" t="s">
        <v>179</v>
      </c>
      <c r="I647" t="s">
        <v>180</v>
      </c>
      <c r="J647" s="2">
        <v>4080</v>
      </c>
      <c r="K647">
        <v>2</v>
      </c>
      <c r="L647" s="2">
        <v>0.15</v>
      </c>
      <c r="M647" s="2">
        <v>770.31</v>
      </c>
      <c r="N647" t="s">
        <v>45</v>
      </c>
      <c r="O647" t="s">
        <v>71</v>
      </c>
      <c r="P647" t="s">
        <v>26</v>
      </c>
    </row>
    <row r="648" spans="1:16" x14ac:dyDescent="0.3">
      <c r="A648" t="s">
        <v>1334</v>
      </c>
      <c r="B648" s="1">
        <v>46340</v>
      </c>
      <c r="C648" t="s">
        <v>946</v>
      </c>
      <c r="D648" t="s">
        <v>74</v>
      </c>
      <c r="E648" t="s">
        <v>75</v>
      </c>
      <c r="F648" t="s">
        <v>20</v>
      </c>
      <c r="G648" t="s">
        <v>32</v>
      </c>
      <c r="H648" t="s">
        <v>33</v>
      </c>
      <c r="I648" t="s">
        <v>34</v>
      </c>
      <c r="J648" s="2">
        <v>37200</v>
      </c>
      <c r="K648">
        <v>6</v>
      </c>
      <c r="L648" s="2">
        <v>0</v>
      </c>
      <c r="M648" s="2">
        <v>4973.68</v>
      </c>
      <c r="N648" t="s">
        <v>64</v>
      </c>
      <c r="O648" t="s">
        <v>108</v>
      </c>
      <c r="P648" t="s">
        <v>55</v>
      </c>
    </row>
    <row r="649" spans="1:16" x14ac:dyDescent="0.3">
      <c r="A649" t="s">
        <v>1272</v>
      </c>
      <c r="B649" s="1">
        <v>46296</v>
      </c>
      <c r="C649" t="s">
        <v>387</v>
      </c>
      <c r="D649" t="s">
        <v>173</v>
      </c>
      <c r="E649" t="s">
        <v>174</v>
      </c>
      <c r="F649" t="s">
        <v>60</v>
      </c>
      <c r="G649" t="s">
        <v>61</v>
      </c>
      <c r="H649" t="s">
        <v>128</v>
      </c>
      <c r="I649" t="s">
        <v>129</v>
      </c>
      <c r="J649" s="2">
        <v>197600</v>
      </c>
      <c r="K649">
        <v>4</v>
      </c>
      <c r="L649" s="2">
        <v>0.05</v>
      </c>
      <c r="M649" s="2">
        <v>50132.33</v>
      </c>
      <c r="N649" t="s">
        <v>114</v>
      </c>
      <c r="O649" t="s">
        <v>46</v>
      </c>
      <c r="P649" t="s">
        <v>26</v>
      </c>
    </row>
    <row r="650" spans="1:16" x14ac:dyDescent="0.3">
      <c r="A650" t="s">
        <v>966</v>
      </c>
      <c r="B650" s="1">
        <v>46098</v>
      </c>
      <c r="C650" t="s">
        <v>351</v>
      </c>
      <c r="D650" t="s">
        <v>152</v>
      </c>
      <c r="E650" t="s">
        <v>153</v>
      </c>
      <c r="F650" t="s">
        <v>20</v>
      </c>
      <c r="G650" t="s">
        <v>21</v>
      </c>
      <c r="H650" t="s">
        <v>179</v>
      </c>
      <c r="I650" t="s">
        <v>180</v>
      </c>
      <c r="J650" s="2">
        <v>2400</v>
      </c>
      <c r="K650">
        <v>1</v>
      </c>
      <c r="L650" s="2">
        <v>0</v>
      </c>
      <c r="M650" s="2">
        <v>579.66</v>
      </c>
      <c r="N650" t="s">
        <v>45</v>
      </c>
      <c r="O650" t="s">
        <v>108</v>
      </c>
      <c r="P650" t="s">
        <v>26</v>
      </c>
    </row>
    <row r="651" spans="1:16" x14ac:dyDescent="0.3">
      <c r="A651" t="s">
        <v>1361</v>
      </c>
      <c r="B651" s="1">
        <v>46359</v>
      </c>
      <c r="C651" t="s">
        <v>110</v>
      </c>
      <c r="D651" t="s">
        <v>152</v>
      </c>
      <c r="E651" t="s">
        <v>153</v>
      </c>
      <c r="F651" t="s">
        <v>20</v>
      </c>
      <c r="G651" t="s">
        <v>61</v>
      </c>
      <c r="H651" t="s">
        <v>128</v>
      </c>
      <c r="I651" t="s">
        <v>129</v>
      </c>
      <c r="J651" s="2">
        <v>208000</v>
      </c>
      <c r="K651">
        <v>4</v>
      </c>
      <c r="L651" s="2">
        <v>0</v>
      </c>
      <c r="M651" s="2">
        <v>20420.46</v>
      </c>
      <c r="N651" t="s">
        <v>35</v>
      </c>
      <c r="O651" t="s">
        <v>46</v>
      </c>
      <c r="P651" t="s">
        <v>55</v>
      </c>
    </row>
    <row r="652" spans="1:16" x14ac:dyDescent="0.3">
      <c r="A652" t="s">
        <v>1207</v>
      </c>
      <c r="B652" s="1">
        <v>46250</v>
      </c>
      <c r="C652" t="s">
        <v>719</v>
      </c>
      <c r="D652" t="s">
        <v>91</v>
      </c>
      <c r="E652" t="s">
        <v>91</v>
      </c>
      <c r="F652" t="s">
        <v>60</v>
      </c>
      <c r="G652" t="s">
        <v>61</v>
      </c>
      <c r="H652" t="s">
        <v>98</v>
      </c>
      <c r="I652" t="s">
        <v>99</v>
      </c>
      <c r="J652" s="2">
        <v>81000</v>
      </c>
      <c r="K652">
        <v>3</v>
      </c>
      <c r="L652" s="2">
        <v>0.1</v>
      </c>
      <c r="M652" s="2">
        <v>21075.81</v>
      </c>
      <c r="N652" t="s">
        <v>45</v>
      </c>
      <c r="O652" t="s">
        <v>46</v>
      </c>
      <c r="P652" t="s">
        <v>47</v>
      </c>
    </row>
    <row r="653" spans="1:16" x14ac:dyDescent="0.3">
      <c r="A653" t="s">
        <v>1197</v>
      </c>
      <c r="B653" s="1">
        <v>46240</v>
      </c>
      <c r="C653" t="s">
        <v>146</v>
      </c>
      <c r="D653" t="s">
        <v>18</v>
      </c>
      <c r="E653" t="s">
        <v>19</v>
      </c>
      <c r="F653" t="s">
        <v>20</v>
      </c>
      <c r="G653" t="s">
        <v>42</v>
      </c>
      <c r="H653" t="s">
        <v>53</v>
      </c>
      <c r="I653" t="s">
        <v>54</v>
      </c>
      <c r="J653" s="2">
        <v>1530</v>
      </c>
      <c r="K653">
        <v>1</v>
      </c>
      <c r="L653" s="2">
        <v>0.15</v>
      </c>
      <c r="M653" s="2">
        <v>394.13</v>
      </c>
      <c r="N653" t="s">
        <v>45</v>
      </c>
      <c r="O653" t="s">
        <v>46</v>
      </c>
      <c r="P653" t="s">
        <v>47</v>
      </c>
    </row>
    <row r="654" spans="1:16" x14ac:dyDescent="0.3">
      <c r="A654" t="s">
        <v>471</v>
      </c>
      <c r="B654" s="1">
        <v>45810</v>
      </c>
      <c r="C654" t="s">
        <v>472</v>
      </c>
      <c r="D654" t="s">
        <v>74</v>
      </c>
      <c r="E654" t="s">
        <v>75</v>
      </c>
      <c r="F654" t="s">
        <v>20</v>
      </c>
      <c r="G654" t="s">
        <v>21</v>
      </c>
      <c r="H654" t="s">
        <v>22</v>
      </c>
      <c r="I654" t="s">
        <v>111</v>
      </c>
      <c r="J654" s="2">
        <v>270</v>
      </c>
      <c r="K654">
        <v>1</v>
      </c>
      <c r="L654" s="2">
        <v>0.1</v>
      </c>
      <c r="M654" s="2">
        <v>37.01</v>
      </c>
      <c r="N654" t="s">
        <v>64</v>
      </c>
      <c r="O654" t="s">
        <v>135</v>
      </c>
      <c r="P654" t="s">
        <v>47</v>
      </c>
    </row>
    <row r="655" spans="1:16" x14ac:dyDescent="0.3">
      <c r="A655" t="s">
        <v>1365</v>
      </c>
      <c r="B655" s="1">
        <v>46364</v>
      </c>
      <c r="C655" t="s">
        <v>158</v>
      </c>
      <c r="D655" t="s">
        <v>166</v>
      </c>
      <c r="E655" t="s">
        <v>75</v>
      </c>
      <c r="F655" t="s">
        <v>20</v>
      </c>
      <c r="G655" t="s">
        <v>42</v>
      </c>
      <c r="H655" t="s">
        <v>43</v>
      </c>
      <c r="I655" t="s">
        <v>44</v>
      </c>
      <c r="J655" s="2">
        <v>8075</v>
      </c>
      <c r="K655">
        <v>1</v>
      </c>
      <c r="L655" s="2">
        <v>0.05</v>
      </c>
      <c r="M655" s="2">
        <v>1395.12</v>
      </c>
      <c r="N655" t="s">
        <v>45</v>
      </c>
      <c r="O655" t="s">
        <v>25</v>
      </c>
      <c r="P655" t="s">
        <v>55</v>
      </c>
    </row>
    <row r="656" spans="1:16" x14ac:dyDescent="0.3">
      <c r="A656" t="s">
        <v>1082</v>
      </c>
      <c r="B656" s="1">
        <v>46160</v>
      </c>
      <c r="C656" t="s">
        <v>127</v>
      </c>
      <c r="D656" t="s">
        <v>173</v>
      </c>
      <c r="E656" t="s">
        <v>174</v>
      </c>
      <c r="F656" t="s">
        <v>60</v>
      </c>
      <c r="G656" t="s">
        <v>42</v>
      </c>
      <c r="H656" t="s">
        <v>53</v>
      </c>
      <c r="I656" t="s">
        <v>120</v>
      </c>
      <c r="J656" s="2">
        <v>7980</v>
      </c>
      <c r="K656">
        <v>2</v>
      </c>
      <c r="L656" s="2">
        <v>0.05</v>
      </c>
      <c r="M656" s="2">
        <v>1127.46</v>
      </c>
      <c r="N656" t="s">
        <v>24</v>
      </c>
      <c r="O656" t="s">
        <v>79</v>
      </c>
      <c r="P656" t="s">
        <v>26</v>
      </c>
    </row>
    <row r="657" spans="1:16" x14ac:dyDescent="0.3">
      <c r="A657" t="s">
        <v>222</v>
      </c>
      <c r="B657" s="1">
        <v>45713</v>
      </c>
      <c r="C657" t="s">
        <v>223</v>
      </c>
      <c r="D657" t="s">
        <v>39</v>
      </c>
      <c r="E657" t="s">
        <v>40</v>
      </c>
      <c r="F657" t="s">
        <v>41</v>
      </c>
      <c r="G657" t="s">
        <v>21</v>
      </c>
      <c r="H657" t="s">
        <v>179</v>
      </c>
      <c r="I657" t="s">
        <v>180</v>
      </c>
      <c r="J657" s="2">
        <v>2160</v>
      </c>
      <c r="K657">
        <v>1</v>
      </c>
      <c r="L657" s="2">
        <v>0.1</v>
      </c>
      <c r="M657" s="2">
        <v>389.73</v>
      </c>
      <c r="N657" t="s">
        <v>114</v>
      </c>
      <c r="O657" t="s">
        <v>86</v>
      </c>
      <c r="P657" t="s">
        <v>26</v>
      </c>
    </row>
    <row r="658" spans="1:16" x14ac:dyDescent="0.3">
      <c r="A658" t="s">
        <v>544</v>
      </c>
      <c r="B658" s="1">
        <v>45859</v>
      </c>
      <c r="C658" t="s">
        <v>398</v>
      </c>
      <c r="D658" t="s">
        <v>68</v>
      </c>
      <c r="E658" t="s">
        <v>69</v>
      </c>
      <c r="F658" t="s">
        <v>41</v>
      </c>
      <c r="G658" t="s">
        <v>76</v>
      </c>
      <c r="H658" t="s">
        <v>77</v>
      </c>
      <c r="I658" t="s">
        <v>78</v>
      </c>
      <c r="J658" s="2">
        <v>2160</v>
      </c>
      <c r="K658">
        <v>1</v>
      </c>
      <c r="L658" s="2">
        <v>0.1</v>
      </c>
      <c r="M658" s="2">
        <v>537.37</v>
      </c>
      <c r="N658" t="s">
        <v>64</v>
      </c>
      <c r="O658" t="s">
        <v>25</v>
      </c>
      <c r="P658" t="s">
        <v>26</v>
      </c>
    </row>
    <row r="659" spans="1:16" x14ac:dyDescent="0.3">
      <c r="A659" t="s">
        <v>1224</v>
      </c>
      <c r="B659" s="1">
        <v>46263</v>
      </c>
      <c r="C659" t="s">
        <v>184</v>
      </c>
      <c r="D659" t="s">
        <v>58</v>
      </c>
      <c r="E659" t="s">
        <v>59</v>
      </c>
      <c r="F659" t="s">
        <v>60</v>
      </c>
      <c r="G659" t="s">
        <v>61</v>
      </c>
      <c r="H659" t="s">
        <v>128</v>
      </c>
      <c r="I659" t="s">
        <v>129</v>
      </c>
      <c r="J659" s="2">
        <v>296400</v>
      </c>
      <c r="K659">
        <v>6</v>
      </c>
      <c r="L659" s="2">
        <v>0.05</v>
      </c>
      <c r="M659" s="2">
        <v>44469.43</v>
      </c>
      <c r="N659" t="s">
        <v>24</v>
      </c>
      <c r="O659" t="s">
        <v>25</v>
      </c>
      <c r="P659" t="s">
        <v>26</v>
      </c>
    </row>
    <row r="660" spans="1:16" x14ac:dyDescent="0.3">
      <c r="A660" t="s">
        <v>983</v>
      </c>
      <c r="B660" s="1">
        <v>46111</v>
      </c>
      <c r="C660" t="s">
        <v>898</v>
      </c>
      <c r="D660" t="s">
        <v>104</v>
      </c>
      <c r="E660" t="s">
        <v>83</v>
      </c>
      <c r="F660" t="s">
        <v>52</v>
      </c>
      <c r="G660" t="s">
        <v>21</v>
      </c>
      <c r="H660" t="s">
        <v>175</v>
      </c>
      <c r="I660" t="s">
        <v>176</v>
      </c>
      <c r="J660" s="2">
        <v>1755</v>
      </c>
      <c r="K660">
        <v>3</v>
      </c>
      <c r="L660" s="2">
        <v>0.1</v>
      </c>
      <c r="M660" s="2">
        <v>293.72000000000003</v>
      </c>
      <c r="N660" t="s">
        <v>24</v>
      </c>
      <c r="O660" t="s">
        <v>46</v>
      </c>
      <c r="P660" t="s">
        <v>55</v>
      </c>
    </row>
    <row r="661" spans="1:16" x14ac:dyDescent="0.3">
      <c r="A661" t="s">
        <v>1216</v>
      </c>
      <c r="B661" s="1">
        <v>46257</v>
      </c>
      <c r="C661" t="s">
        <v>881</v>
      </c>
      <c r="D661" t="s">
        <v>50</v>
      </c>
      <c r="E661" t="s">
        <v>51</v>
      </c>
      <c r="F661" t="s">
        <v>52</v>
      </c>
      <c r="G661" t="s">
        <v>42</v>
      </c>
      <c r="H661" t="s">
        <v>53</v>
      </c>
      <c r="I661" t="s">
        <v>120</v>
      </c>
      <c r="J661" s="2">
        <v>21000</v>
      </c>
      <c r="K661">
        <v>5</v>
      </c>
      <c r="L661" s="2">
        <v>0</v>
      </c>
      <c r="M661" s="2">
        <v>2107.7600000000002</v>
      </c>
      <c r="N661" t="s">
        <v>45</v>
      </c>
      <c r="O661" t="s">
        <v>86</v>
      </c>
      <c r="P661" t="s">
        <v>47</v>
      </c>
    </row>
    <row r="662" spans="1:16" x14ac:dyDescent="0.3">
      <c r="A662" t="s">
        <v>681</v>
      </c>
      <c r="B662" s="1">
        <v>45925</v>
      </c>
      <c r="C662" t="s">
        <v>344</v>
      </c>
      <c r="D662" t="s">
        <v>39</v>
      </c>
      <c r="E662" t="s">
        <v>40</v>
      </c>
      <c r="F662" t="s">
        <v>41</v>
      </c>
      <c r="G662" t="s">
        <v>21</v>
      </c>
      <c r="H662" t="s">
        <v>179</v>
      </c>
      <c r="I662" t="s">
        <v>180</v>
      </c>
      <c r="J662" s="2">
        <v>4080</v>
      </c>
      <c r="K662">
        <v>2</v>
      </c>
      <c r="L662" s="2">
        <v>0.15</v>
      </c>
      <c r="M662" s="2">
        <v>1072.02</v>
      </c>
      <c r="N662" t="s">
        <v>45</v>
      </c>
      <c r="O662" t="s">
        <v>65</v>
      </c>
      <c r="P662" t="s">
        <v>55</v>
      </c>
    </row>
    <row r="663" spans="1:16" x14ac:dyDescent="0.3">
      <c r="A663" t="s">
        <v>654</v>
      </c>
      <c r="B663" s="1">
        <v>45910</v>
      </c>
      <c r="C663" t="s">
        <v>592</v>
      </c>
      <c r="D663" t="s">
        <v>119</v>
      </c>
      <c r="E663" t="s">
        <v>75</v>
      </c>
      <c r="F663" t="s">
        <v>20</v>
      </c>
      <c r="G663" t="s">
        <v>76</v>
      </c>
      <c r="H663" t="s">
        <v>77</v>
      </c>
      <c r="I663" t="s">
        <v>171</v>
      </c>
      <c r="J663" s="2">
        <v>3200</v>
      </c>
      <c r="K663">
        <v>2</v>
      </c>
      <c r="L663" s="2">
        <v>0</v>
      </c>
      <c r="M663" s="2">
        <v>548.1</v>
      </c>
      <c r="N663" t="s">
        <v>24</v>
      </c>
      <c r="O663" t="s">
        <v>71</v>
      </c>
      <c r="P663" t="s">
        <v>47</v>
      </c>
    </row>
    <row r="664" spans="1:16" x14ac:dyDescent="0.3">
      <c r="A664" t="s">
        <v>1252</v>
      </c>
      <c r="B664" s="1">
        <v>46285</v>
      </c>
      <c r="C664" t="s">
        <v>410</v>
      </c>
      <c r="D664" t="s">
        <v>96</v>
      </c>
      <c r="E664" t="s">
        <v>97</v>
      </c>
      <c r="F664" t="s">
        <v>20</v>
      </c>
      <c r="G664" t="s">
        <v>42</v>
      </c>
      <c r="H664" t="s">
        <v>43</v>
      </c>
      <c r="I664" t="s">
        <v>44</v>
      </c>
      <c r="J664" s="2">
        <v>43350</v>
      </c>
      <c r="K664">
        <v>6</v>
      </c>
      <c r="L664" s="2">
        <v>0.15</v>
      </c>
      <c r="M664" s="2">
        <v>5196.57</v>
      </c>
      <c r="N664" t="s">
        <v>64</v>
      </c>
      <c r="O664" t="s">
        <v>71</v>
      </c>
      <c r="P664" t="s">
        <v>47</v>
      </c>
    </row>
    <row r="665" spans="1:16" x14ac:dyDescent="0.3">
      <c r="A665" t="s">
        <v>198</v>
      </c>
      <c r="B665" s="1">
        <v>45700</v>
      </c>
      <c r="C665" t="s">
        <v>199</v>
      </c>
      <c r="D665" t="s">
        <v>152</v>
      </c>
      <c r="E665" t="s">
        <v>153</v>
      </c>
      <c r="F665" t="s">
        <v>20</v>
      </c>
      <c r="G665" t="s">
        <v>61</v>
      </c>
      <c r="H665" t="s">
        <v>128</v>
      </c>
      <c r="I665" t="s">
        <v>195</v>
      </c>
      <c r="J665" s="2">
        <v>220400</v>
      </c>
      <c r="K665">
        <v>4</v>
      </c>
      <c r="L665" s="2">
        <v>0.05</v>
      </c>
      <c r="M665" s="2">
        <v>35342.46</v>
      </c>
      <c r="N665" t="s">
        <v>35</v>
      </c>
      <c r="O665" t="s">
        <v>105</v>
      </c>
      <c r="P665" t="s">
        <v>55</v>
      </c>
    </row>
    <row r="666" spans="1:16" x14ac:dyDescent="0.3">
      <c r="A666" t="s">
        <v>313</v>
      </c>
      <c r="B666" s="1">
        <v>45745</v>
      </c>
      <c r="C666" t="s">
        <v>314</v>
      </c>
      <c r="D666" t="s">
        <v>119</v>
      </c>
      <c r="E666" t="s">
        <v>75</v>
      </c>
      <c r="F666" t="s">
        <v>20</v>
      </c>
      <c r="G666" t="s">
        <v>21</v>
      </c>
      <c r="H666" t="s">
        <v>22</v>
      </c>
      <c r="I666" t="s">
        <v>23</v>
      </c>
      <c r="J666" s="2">
        <v>1282.5</v>
      </c>
      <c r="K666">
        <v>3</v>
      </c>
      <c r="L666" s="2">
        <v>0.05</v>
      </c>
      <c r="M666" s="2">
        <v>285.13</v>
      </c>
      <c r="N666" t="s">
        <v>24</v>
      </c>
      <c r="O666" t="s">
        <v>79</v>
      </c>
      <c r="P666" t="s">
        <v>47</v>
      </c>
    </row>
    <row r="667" spans="1:16" x14ac:dyDescent="0.3">
      <c r="A667" t="s">
        <v>754</v>
      </c>
      <c r="B667" s="1">
        <v>45968</v>
      </c>
      <c r="C667" t="s">
        <v>755</v>
      </c>
      <c r="D667" t="s">
        <v>119</v>
      </c>
      <c r="E667" t="s">
        <v>75</v>
      </c>
      <c r="F667" t="s">
        <v>20</v>
      </c>
      <c r="G667" t="s">
        <v>61</v>
      </c>
      <c r="H667" t="s">
        <v>128</v>
      </c>
      <c r="I667" t="s">
        <v>129</v>
      </c>
      <c r="J667" s="2">
        <v>265200</v>
      </c>
      <c r="K667">
        <v>6</v>
      </c>
      <c r="L667" s="2">
        <v>0.15</v>
      </c>
      <c r="M667" s="2">
        <v>18131.53</v>
      </c>
      <c r="N667" t="s">
        <v>114</v>
      </c>
      <c r="O667" t="s">
        <v>86</v>
      </c>
      <c r="P667" t="s">
        <v>47</v>
      </c>
    </row>
    <row r="668" spans="1:16" x14ac:dyDescent="0.3">
      <c r="A668" t="s">
        <v>1133</v>
      </c>
      <c r="B668" s="1">
        <v>46198</v>
      </c>
      <c r="C668" t="s">
        <v>553</v>
      </c>
      <c r="D668" t="s">
        <v>58</v>
      </c>
      <c r="E668" t="s">
        <v>59</v>
      </c>
      <c r="F668" t="s">
        <v>60</v>
      </c>
      <c r="G668" t="s">
        <v>61</v>
      </c>
      <c r="H668" t="s">
        <v>62</v>
      </c>
      <c r="I668" t="s">
        <v>70</v>
      </c>
      <c r="J668" s="2">
        <v>9180</v>
      </c>
      <c r="K668">
        <v>6</v>
      </c>
      <c r="L668" s="2">
        <v>0.15</v>
      </c>
      <c r="M668" s="2">
        <v>2044.43</v>
      </c>
      <c r="N668" t="s">
        <v>35</v>
      </c>
      <c r="O668" t="s">
        <v>79</v>
      </c>
      <c r="P668" t="s">
        <v>55</v>
      </c>
    </row>
    <row r="669" spans="1:16" x14ac:dyDescent="0.3">
      <c r="A669" t="s">
        <v>948</v>
      </c>
      <c r="B669" s="1">
        <v>46088</v>
      </c>
      <c r="C669" t="s">
        <v>201</v>
      </c>
      <c r="D669" t="s">
        <v>58</v>
      </c>
      <c r="E669" t="s">
        <v>59</v>
      </c>
      <c r="F669" t="s">
        <v>60</v>
      </c>
      <c r="G669" t="s">
        <v>32</v>
      </c>
      <c r="H669" t="s">
        <v>33</v>
      </c>
      <c r="I669" t="s">
        <v>34</v>
      </c>
      <c r="J669" s="2">
        <v>18600</v>
      </c>
      <c r="K669">
        <v>3</v>
      </c>
      <c r="L669" s="2">
        <v>0</v>
      </c>
      <c r="M669" s="2">
        <v>4427.29</v>
      </c>
      <c r="N669" t="s">
        <v>35</v>
      </c>
      <c r="O669" t="s">
        <v>108</v>
      </c>
      <c r="P669" t="s">
        <v>55</v>
      </c>
    </row>
    <row r="670" spans="1:16" x14ac:dyDescent="0.3">
      <c r="A670" t="s">
        <v>745</v>
      </c>
      <c r="B670" s="1">
        <v>45965</v>
      </c>
      <c r="C670" t="s">
        <v>746</v>
      </c>
      <c r="D670" t="s">
        <v>119</v>
      </c>
      <c r="E670" t="s">
        <v>75</v>
      </c>
      <c r="F670" t="s">
        <v>20</v>
      </c>
      <c r="G670" t="s">
        <v>32</v>
      </c>
      <c r="H670" t="s">
        <v>92</v>
      </c>
      <c r="I670" t="s">
        <v>93</v>
      </c>
      <c r="J670" s="2">
        <v>21850</v>
      </c>
      <c r="K670">
        <v>2</v>
      </c>
      <c r="L670" s="2">
        <v>0.05</v>
      </c>
      <c r="M670" s="2">
        <v>4108.1400000000003</v>
      </c>
      <c r="N670" t="s">
        <v>35</v>
      </c>
      <c r="O670" t="s">
        <v>25</v>
      </c>
      <c r="P670" t="s">
        <v>26</v>
      </c>
    </row>
    <row r="671" spans="1:16" x14ac:dyDescent="0.3">
      <c r="A671" t="s">
        <v>466</v>
      </c>
      <c r="B671" s="1">
        <v>45807</v>
      </c>
      <c r="C671" t="s">
        <v>73</v>
      </c>
      <c r="D671" t="s">
        <v>91</v>
      </c>
      <c r="E671" t="s">
        <v>91</v>
      </c>
      <c r="F671" t="s">
        <v>60</v>
      </c>
      <c r="G671" t="s">
        <v>61</v>
      </c>
      <c r="H671" t="s">
        <v>98</v>
      </c>
      <c r="I671" t="s">
        <v>156</v>
      </c>
      <c r="J671" s="2">
        <v>144400</v>
      </c>
      <c r="K671">
        <v>4</v>
      </c>
      <c r="L671" s="2">
        <v>0.05</v>
      </c>
      <c r="M671" s="2">
        <v>20628.47</v>
      </c>
      <c r="N671" t="s">
        <v>35</v>
      </c>
      <c r="O671" t="s">
        <v>46</v>
      </c>
      <c r="P671" t="s">
        <v>26</v>
      </c>
    </row>
    <row r="672" spans="1:16" x14ac:dyDescent="0.3">
      <c r="A672" t="s">
        <v>488</v>
      </c>
      <c r="B672" s="1">
        <v>45822</v>
      </c>
      <c r="C672" t="s">
        <v>439</v>
      </c>
      <c r="D672" t="s">
        <v>82</v>
      </c>
      <c r="E672" t="s">
        <v>83</v>
      </c>
      <c r="F672" t="s">
        <v>52</v>
      </c>
      <c r="G672" t="s">
        <v>61</v>
      </c>
      <c r="H672" t="s">
        <v>62</v>
      </c>
      <c r="I672" t="s">
        <v>70</v>
      </c>
      <c r="J672" s="2">
        <v>8100</v>
      </c>
      <c r="K672">
        <v>5</v>
      </c>
      <c r="L672" s="2">
        <v>0.1</v>
      </c>
      <c r="M672" s="2">
        <v>1972.18</v>
      </c>
      <c r="N672" t="s">
        <v>114</v>
      </c>
      <c r="O672" t="s">
        <v>25</v>
      </c>
      <c r="P672" t="s">
        <v>47</v>
      </c>
    </row>
    <row r="673" spans="1:16" x14ac:dyDescent="0.3">
      <c r="A673" t="s">
        <v>172</v>
      </c>
      <c r="B673" s="1">
        <v>45694</v>
      </c>
      <c r="C673" t="s">
        <v>142</v>
      </c>
      <c r="D673" t="s">
        <v>173</v>
      </c>
      <c r="E673" t="s">
        <v>174</v>
      </c>
      <c r="F673" t="s">
        <v>60</v>
      </c>
      <c r="G673" t="s">
        <v>21</v>
      </c>
      <c r="H673" t="s">
        <v>175</v>
      </c>
      <c r="I673" t="s">
        <v>176</v>
      </c>
      <c r="J673" s="2">
        <v>1300</v>
      </c>
      <c r="K673">
        <v>2</v>
      </c>
      <c r="L673" s="2">
        <v>0</v>
      </c>
      <c r="M673" s="2">
        <v>212.33</v>
      </c>
      <c r="N673" t="s">
        <v>64</v>
      </c>
      <c r="O673" t="s">
        <v>71</v>
      </c>
      <c r="P673" t="s">
        <v>26</v>
      </c>
    </row>
    <row r="674" spans="1:16" x14ac:dyDescent="0.3">
      <c r="A674" t="s">
        <v>1265</v>
      </c>
      <c r="B674" s="1">
        <v>46294</v>
      </c>
      <c r="C674" t="s">
        <v>387</v>
      </c>
      <c r="D674" t="s">
        <v>50</v>
      </c>
      <c r="E674" t="s">
        <v>51</v>
      </c>
      <c r="F674" t="s">
        <v>52</v>
      </c>
      <c r="G674" t="s">
        <v>32</v>
      </c>
      <c r="H674" t="s">
        <v>84</v>
      </c>
      <c r="I674" t="s">
        <v>85</v>
      </c>
      <c r="J674" s="2">
        <v>10625</v>
      </c>
      <c r="K674">
        <v>1</v>
      </c>
      <c r="L674" s="2">
        <v>0.15</v>
      </c>
      <c r="M674" s="2">
        <v>2347.12</v>
      </c>
      <c r="N674" t="s">
        <v>35</v>
      </c>
      <c r="O674" t="s">
        <v>105</v>
      </c>
      <c r="P674" t="s">
        <v>26</v>
      </c>
    </row>
    <row r="675" spans="1:16" x14ac:dyDescent="0.3">
      <c r="A675" t="s">
        <v>579</v>
      </c>
      <c r="B675" s="1">
        <v>45872</v>
      </c>
      <c r="C675" t="s">
        <v>274</v>
      </c>
      <c r="D675" t="s">
        <v>68</v>
      </c>
      <c r="E675" t="s">
        <v>69</v>
      </c>
      <c r="F675" t="s">
        <v>41</v>
      </c>
      <c r="G675" t="s">
        <v>42</v>
      </c>
      <c r="H675" t="s">
        <v>43</v>
      </c>
      <c r="I675" t="s">
        <v>44</v>
      </c>
      <c r="J675" s="2">
        <v>7650</v>
      </c>
      <c r="K675">
        <v>1</v>
      </c>
      <c r="L675" s="2">
        <v>0.1</v>
      </c>
      <c r="M675" s="2">
        <v>708.8</v>
      </c>
      <c r="N675" t="s">
        <v>24</v>
      </c>
      <c r="O675" t="s">
        <v>36</v>
      </c>
      <c r="P675" t="s">
        <v>55</v>
      </c>
    </row>
    <row r="676" spans="1:16" x14ac:dyDescent="0.3">
      <c r="A676" t="s">
        <v>1192</v>
      </c>
      <c r="B676" s="1">
        <v>46239</v>
      </c>
      <c r="C676" t="s">
        <v>1193</v>
      </c>
      <c r="D676" t="s">
        <v>91</v>
      </c>
      <c r="E676" t="s">
        <v>91</v>
      </c>
      <c r="F676" t="s">
        <v>60</v>
      </c>
      <c r="G676" t="s">
        <v>61</v>
      </c>
      <c r="H676" t="s">
        <v>128</v>
      </c>
      <c r="I676" t="s">
        <v>195</v>
      </c>
      <c r="J676" s="2">
        <v>55100</v>
      </c>
      <c r="K676">
        <v>1</v>
      </c>
      <c r="L676" s="2">
        <v>0.05</v>
      </c>
      <c r="M676" s="2">
        <v>7316.85</v>
      </c>
      <c r="N676" t="s">
        <v>35</v>
      </c>
      <c r="O676" t="s">
        <v>36</v>
      </c>
      <c r="P676" t="s">
        <v>47</v>
      </c>
    </row>
    <row r="677" spans="1:16" x14ac:dyDescent="0.3">
      <c r="A677" t="s">
        <v>1213</v>
      </c>
      <c r="B677" s="1">
        <v>46254</v>
      </c>
      <c r="C677" t="s">
        <v>769</v>
      </c>
      <c r="D677" t="s">
        <v>39</v>
      </c>
      <c r="E677" t="s">
        <v>40</v>
      </c>
      <c r="F677" t="s">
        <v>41</v>
      </c>
      <c r="G677" t="s">
        <v>21</v>
      </c>
      <c r="H677" t="s">
        <v>175</v>
      </c>
      <c r="I677" t="s">
        <v>176</v>
      </c>
      <c r="J677" s="2">
        <v>2340</v>
      </c>
      <c r="K677">
        <v>4</v>
      </c>
      <c r="L677" s="2">
        <v>0.1</v>
      </c>
      <c r="M677" s="2">
        <v>292.47000000000003</v>
      </c>
      <c r="N677" t="s">
        <v>24</v>
      </c>
      <c r="O677" t="s">
        <v>135</v>
      </c>
      <c r="P677" t="s">
        <v>47</v>
      </c>
    </row>
    <row r="678" spans="1:16" x14ac:dyDescent="0.3">
      <c r="A678" t="s">
        <v>232</v>
      </c>
      <c r="B678" s="1">
        <v>45722</v>
      </c>
      <c r="C678" t="s">
        <v>233</v>
      </c>
      <c r="D678" t="s">
        <v>58</v>
      </c>
      <c r="E678" t="s">
        <v>59</v>
      </c>
      <c r="F678" t="s">
        <v>60</v>
      </c>
      <c r="G678" t="s">
        <v>61</v>
      </c>
      <c r="H678" t="s">
        <v>128</v>
      </c>
      <c r="I678" t="s">
        <v>195</v>
      </c>
      <c r="J678" s="2">
        <v>116000</v>
      </c>
      <c r="K678">
        <v>2</v>
      </c>
      <c r="L678" s="2">
        <v>0</v>
      </c>
      <c r="M678" s="2">
        <v>17516.349999999999</v>
      </c>
      <c r="N678" t="s">
        <v>24</v>
      </c>
      <c r="O678" t="s">
        <v>65</v>
      </c>
      <c r="P678" t="s">
        <v>47</v>
      </c>
    </row>
    <row r="679" spans="1:16" x14ac:dyDescent="0.3">
      <c r="A679" t="s">
        <v>1351</v>
      </c>
      <c r="B679" s="1">
        <v>46351</v>
      </c>
      <c r="C679" t="s">
        <v>437</v>
      </c>
      <c r="D679" t="s">
        <v>152</v>
      </c>
      <c r="E679" t="s">
        <v>153</v>
      </c>
      <c r="F679" t="s">
        <v>20</v>
      </c>
      <c r="G679" t="s">
        <v>76</v>
      </c>
      <c r="H679" t="s">
        <v>122</v>
      </c>
      <c r="I679" t="s">
        <v>123</v>
      </c>
      <c r="J679" s="2">
        <v>11220</v>
      </c>
      <c r="K679">
        <v>6</v>
      </c>
      <c r="L679" s="2">
        <v>0.15</v>
      </c>
      <c r="M679" s="2">
        <v>1909.88</v>
      </c>
      <c r="N679" t="s">
        <v>114</v>
      </c>
      <c r="O679" t="s">
        <v>25</v>
      </c>
      <c r="P679" t="s">
        <v>26</v>
      </c>
    </row>
    <row r="680" spans="1:16" x14ac:dyDescent="0.3">
      <c r="A680" t="s">
        <v>1286</v>
      </c>
      <c r="B680" s="1">
        <v>46308</v>
      </c>
      <c r="C680" t="s">
        <v>716</v>
      </c>
      <c r="D680" t="s">
        <v>29</v>
      </c>
      <c r="E680" t="s">
        <v>30</v>
      </c>
      <c r="F680" t="s">
        <v>31</v>
      </c>
      <c r="G680" t="s">
        <v>61</v>
      </c>
      <c r="H680" t="s">
        <v>98</v>
      </c>
      <c r="I680" t="s">
        <v>99</v>
      </c>
      <c r="J680" s="2">
        <v>150000</v>
      </c>
      <c r="K680">
        <v>5</v>
      </c>
      <c r="L680" s="2">
        <v>0</v>
      </c>
      <c r="M680" s="2">
        <v>27804.51</v>
      </c>
      <c r="N680" t="s">
        <v>114</v>
      </c>
      <c r="O680" t="s">
        <v>25</v>
      </c>
      <c r="P680" t="s">
        <v>55</v>
      </c>
    </row>
    <row r="681" spans="1:16" x14ac:dyDescent="0.3">
      <c r="A681" t="s">
        <v>138</v>
      </c>
      <c r="B681" s="1">
        <v>45677</v>
      </c>
      <c r="C681" t="s">
        <v>139</v>
      </c>
      <c r="D681" t="s">
        <v>91</v>
      </c>
      <c r="E681" t="s">
        <v>91</v>
      </c>
      <c r="F681" t="s">
        <v>60</v>
      </c>
      <c r="G681" t="s">
        <v>32</v>
      </c>
      <c r="H681" t="s">
        <v>84</v>
      </c>
      <c r="I681" t="s">
        <v>140</v>
      </c>
      <c r="J681" s="2">
        <v>35625</v>
      </c>
      <c r="K681">
        <v>5</v>
      </c>
      <c r="L681" s="2">
        <v>0.05</v>
      </c>
      <c r="M681" s="2">
        <v>8266.3799999999992</v>
      </c>
      <c r="N681" t="s">
        <v>35</v>
      </c>
      <c r="O681" t="s">
        <v>105</v>
      </c>
      <c r="P681" t="s">
        <v>26</v>
      </c>
    </row>
    <row r="682" spans="1:16" x14ac:dyDescent="0.3">
      <c r="A682" t="s">
        <v>200</v>
      </c>
      <c r="B682" s="1">
        <v>45700</v>
      </c>
      <c r="C682" t="s">
        <v>201</v>
      </c>
      <c r="D682" t="s">
        <v>134</v>
      </c>
      <c r="E682" t="s">
        <v>75</v>
      </c>
      <c r="F682" t="s">
        <v>20</v>
      </c>
      <c r="G682" t="s">
        <v>21</v>
      </c>
      <c r="H682" t="s">
        <v>22</v>
      </c>
      <c r="I682" t="s">
        <v>111</v>
      </c>
      <c r="J682" s="2">
        <v>270</v>
      </c>
      <c r="K682">
        <v>1</v>
      </c>
      <c r="L682" s="2">
        <v>0.1</v>
      </c>
      <c r="M682" s="2">
        <v>61.8</v>
      </c>
      <c r="N682" t="s">
        <v>35</v>
      </c>
      <c r="O682" t="s">
        <v>71</v>
      </c>
      <c r="P682" t="s">
        <v>47</v>
      </c>
    </row>
    <row r="683" spans="1:16" x14ac:dyDescent="0.3">
      <c r="A683" t="s">
        <v>1116</v>
      </c>
      <c r="B683" s="1">
        <v>46184</v>
      </c>
      <c r="C683" t="s">
        <v>294</v>
      </c>
      <c r="D683" t="s">
        <v>166</v>
      </c>
      <c r="E683" t="s">
        <v>75</v>
      </c>
      <c r="F683" t="s">
        <v>20</v>
      </c>
      <c r="G683" t="s">
        <v>21</v>
      </c>
      <c r="H683" t="s">
        <v>175</v>
      </c>
      <c r="I683" t="s">
        <v>176</v>
      </c>
      <c r="J683" s="2">
        <v>2080</v>
      </c>
      <c r="K683">
        <v>4</v>
      </c>
      <c r="L683" s="2">
        <v>0.2</v>
      </c>
      <c r="M683" s="2">
        <v>230.73</v>
      </c>
      <c r="N683" t="s">
        <v>35</v>
      </c>
      <c r="O683" t="s">
        <v>105</v>
      </c>
      <c r="P683" t="s">
        <v>47</v>
      </c>
    </row>
    <row r="684" spans="1:16" x14ac:dyDescent="0.3">
      <c r="A684" t="s">
        <v>507</v>
      </c>
      <c r="B684" s="1">
        <v>45835</v>
      </c>
      <c r="C684" t="s">
        <v>344</v>
      </c>
      <c r="D684" t="s">
        <v>74</v>
      </c>
      <c r="E684" t="s">
        <v>75</v>
      </c>
      <c r="F684" t="s">
        <v>20</v>
      </c>
      <c r="G684" t="s">
        <v>32</v>
      </c>
      <c r="H684" t="s">
        <v>33</v>
      </c>
      <c r="I684" t="s">
        <v>34</v>
      </c>
      <c r="J684" s="2">
        <v>18600</v>
      </c>
      <c r="K684">
        <v>3</v>
      </c>
      <c r="L684" s="2">
        <v>0</v>
      </c>
      <c r="M684" s="2">
        <v>5089.04</v>
      </c>
      <c r="N684" t="s">
        <v>35</v>
      </c>
      <c r="O684" t="s">
        <v>36</v>
      </c>
      <c r="P684" t="s">
        <v>47</v>
      </c>
    </row>
    <row r="685" spans="1:16" x14ac:dyDescent="0.3">
      <c r="A685" t="s">
        <v>1245</v>
      </c>
      <c r="B685" s="1">
        <v>46280</v>
      </c>
      <c r="C685" t="s">
        <v>231</v>
      </c>
      <c r="D685" t="s">
        <v>74</v>
      </c>
      <c r="E685" t="s">
        <v>75</v>
      </c>
      <c r="F685" t="s">
        <v>20</v>
      </c>
      <c r="G685" t="s">
        <v>42</v>
      </c>
      <c r="H685" t="s">
        <v>43</v>
      </c>
      <c r="I685" t="s">
        <v>44</v>
      </c>
      <c r="J685" s="2">
        <v>30600</v>
      </c>
      <c r="K685">
        <v>4</v>
      </c>
      <c r="L685" s="2">
        <v>0.1</v>
      </c>
      <c r="M685" s="2">
        <v>4489.01</v>
      </c>
      <c r="N685" t="s">
        <v>64</v>
      </c>
      <c r="O685" t="s">
        <v>135</v>
      </c>
      <c r="P685" t="s">
        <v>26</v>
      </c>
    </row>
    <row r="686" spans="1:16" x14ac:dyDescent="0.3">
      <c r="A686" t="s">
        <v>1370</v>
      </c>
      <c r="B686" s="1">
        <v>46368</v>
      </c>
      <c r="C686" t="s">
        <v>263</v>
      </c>
      <c r="D686" t="s">
        <v>74</v>
      </c>
      <c r="E686" t="s">
        <v>75</v>
      </c>
      <c r="F686" t="s">
        <v>20</v>
      </c>
      <c r="G686" t="s">
        <v>61</v>
      </c>
      <c r="H686" t="s">
        <v>62</v>
      </c>
      <c r="I686" t="s">
        <v>63</v>
      </c>
      <c r="J686" s="2">
        <v>2430</v>
      </c>
      <c r="K686">
        <v>3</v>
      </c>
      <c r="L686" s="2">
        <v>0.1</v>
      </c>
      <c r="M686" s="2">
        <v>649.11</v>
      </c>
      <c r="N686" t="s">
        <v>35</v>
      </c>
      <c r="O686" t="s">
        <v>108</v>
      </c>
      <c r="P686" t="s">
        <v>26</v>
      </c>
    </row>
    <row r="687" spans="1:16" x14ac:dyDescent="0.3">
      <c r="A687" t="s">
        <v>932</v>
      </c>
      <c r="B687" s="1">
        <v>46076</v>
      </c>
      <c r="C687" t="s">
        <v>678</v>
      </c>
      <c r="D687" t="s">
        <v>134</v>
      </c>
      <c r="E687" t="s">
        <v>75</v>
      </c>
      <c r="F687" t="s">
        <v>20</v>
      </c>
      <c r="G687" t="s">
        <v>32</v>
      </c>
      <c r="H687" t="s">
        <v>84</v>
      </c>
      <c r="I687" t="s">
        <v>140</v>
      </c>
      <c r="J687" s="2">
        <v>7500</v>
      </c>
      <c r="K687">
        <v>1</v>
      </c>
      <c r="L687" s="2">
        <v>0</v>
      </c>
      <c r="M687" s="2">
        <v>1467.11</v>
      </c>
      <c r="N687" t="s">
        <v>114</v>
      </c>
      <c r="O687" t="s">
        <v>79</v>
      </c>
      <c r="P687" t="s">
        <v>47</v>
      </c>
    </row>
    <row r="688" spans="1:16" x14ac:dyDescent="0.3">
      <c r="A688" t="s">
        <v>935</v>
      </c>
      <c r="B688" s="1">
        <v>46078</v>
      </c>
      <c r="C688" t="s">
        <v>303</v>
      </c>
      <c r="D688" t="s">
        <v>18</v>
      </c>
      <c r="E688" t="s">
        <v>19</v>
      </c>
      <c r="F688" t="s">
        <v>20</v>
      </c>
      <c r="G688" t="s">
        <v>32</v>
      </c>
      <c r="H688" t="s">
        <v>84</v>
      </c>
      <c r="I688" t="s">
        <v>85</v>
      </c>
      <c r="J688" s="2">
        <v>25000</v>
      </c>
      <c r="K688">
        <v>2</v>
      </c>
      <c r="L688" s="2">
        <v>0</v>
      </c>
      <c r="M688" s="2">
        <v>4428.1499999999996</v>
      </c>
      <c r="N688" t="s">
        <v>64</v>
      </c>
      <c r="O688" t="s">
        <v>108</v>
      </c>
      <c r="P688" t="s">
        <v>55</v>
      </c>
    </row>
    <row r="689" spans="1:16" x14ac:dyDescent="0.3">
      <c r="A689" t="s">
        <v>1326</v>
      </c>
      <c r="B689" s="1">
        <v>46332</v>
      </c>
      <c r="C689" t="s">
        <v>723</v>
      </c>
      <c r="D689" t="s">
        <v>134</v>
      </c>
      <c r="E689" t="s">
        <v>75</v>
      </c>
      <c r="F689" t="s">
        <v>20</v>
      </c>
      <c r="G689" t="s">
        <v>21</v>
      </c>
      <c r="H689" t="s">
        <v>22</v>
      </c>
      <c r="I689" t="s">
        <v>111</v>
      </c>
      <c r="J689" s="2">
        <v>765</v>
      </c>
      <c r="K689">
        <v>3</v>
      </c>
      <c r="L689" s="2">
        <v>0.15</v>
      </c>
      <c r="M689" s="2">
        <v>62.06</v>
      </c>
      <c r="N689" t="s">
        <v>114</v>
      </c>
      <c r="O689" t="s">
        <v>36</v>
      </c>
      <c r="P689" t="s">
        <v>55</v>
      </c>
    </row>
    <row r="690" spans="1:16" x14ac:dyDescent="0.3">
      <c r="A690" t="s">
        <v>1333</v>
      </c>
      <c r="B690" s="1">
        <v>46339</v>
      </c>
      <c r="C690" t="s">
        <v>943</v>
      </c>
      <c r="D690" t="s">
        <v>39</v>
      </c>
      <c r="E690" t="s">
        <v>40</v>
      </c>
      <c r="F690" t="s">
        <v>41</v>
      </c>
      <c r="G690" t="s">
        <v>76</v>
      </c>
      <c r="H690" t="s">
        <v>77</v>
      </c>
      <c r="I690" t="s">
        <v>78</v>
      </c>
      <c r="J690" s="2">
        <v>12960</v>
      </c>
      <c r="K690">
        <v>6</v>
      </c>
      <c r="L690" s="2">
        <v>0.1</v>
      </c>
      <c r="M690" s="2">
        <v>3190.5</v>
      </c>
      <c r="N690" t="s">
        <v>64</v>
      </c>
      <c r="O690" t="s">
        <v>135</v>
      </c>
      <c r="P690" t="s">
        <v>55</v>
      </c>
    </row>
    <row r="691" spans="1:16" x14ac:dyDescent="0.3">
      <c r="A691" t="s">
        <v>1331</v>
      </c>
      <c r="B691" s="1">
        <v>46334</v>
      </c>
      <c r="C691" t="s">
        <v>609</v>
      </c>
      <c r="D691" t="s">
        <v>74</v>
      </c>
      <c r="E691" t="s">
        <v>75</v>
      </c>
      <c r="F691" t="s">
        <v>20</v>
      </c>
      <c r="G691" t="s">
        <v>61</v>
      </c>
      <c r="H691" t="s">
        <v>62</v>
      </c>
      <c r="I691" t="s">
        <v>70</v>
      </c>
      <c r="J691" s="2">
        <v>1710</v>
      </c>
      <c r="K691">
        <v>1</v>
      </c>
      <c r="L691" s="2">
        <v>0.05</v>
      </c>
      <c r="M691" s="2">
        <v>403.3</v>
      </c>
      <c r="N691" t="s">
        <v>45</v>
      </c>
      <c r="O691" t="s">
        <v>105</v>
      </c>
      <c r="P691" t="s">
        <v>55</v>
      </c>
    </row>
    <row r="692" spans="1:16" x14ac:dyDescent="0.3">
      <c r="A692" t="s">
        <v>1164</v>
      </c>
      <c r="B692" s="1">
        <v>46217</v>
      </c>
      <c r="C692" t="s">
        <v>838</v>
      </c>
      <c r="D692" t="s">
        <v>173</v>
      </c>
      <c r="E692" t="s">
        <v>174</v>
      </c>
      <c r="F692" t="s">
        <v>60</v>
      </c>
      <c r="G692" t="s">
        <v>61</v>
      </c>
      <c r="H692" t="s">
        <v>98</v>
      </c>
      <c r="I692" t="s">
        <v>99</v>
      </c>
      <c r="J692" s="2">
        <v>81000</v>
      </c>
      <c r="K692">
        <v>3</v>
      </c>
      <c r="L692" s="2">
        <v>0.1</v>
      </c>
      <c r="M692" s="2">
        <v>7018.88</v>
      </c>
      <c r="N692" t="s">
        <v>114</v>
      </c>
      <c r="O692" t="s">
        <v>65</v>
      </c>
      <c r="P692" t="s">
        <v>55</v>
      </c>
    </row>
    <row r="693" spans="1:16" x14ac:dyDescent="0.3">
      <c r="A693" t="s">
        <v>363</v>
      </c>
      <c r="B693" s="1">
        <v>45763</v>
      </c>
      <c r="C693" t="s">
        <v>351</v>
      </c>
      <c r="D693" t="s">
        <v>39</v>
      </c>
      <c r="E693" t="s">
        <v>40</v>
      </c>
      <c r="F693" t="s">
        <v>41</v>
      </c>
      <c r="G693" t="s">
        <v>21</v>
      </c>
      <c r="H693" t="s">
        <v>175</v>
      </c>
      <c r="I693" t="s">
        <v>176</v>
      </c>
      <c r="J693" s="2">
        <v>2470</v>
      </c>
      <c r="K693">
        <v>4</v>
      </c>
      <c r="L693" s="2">
        <v>0.05</v>
      </c>
      <c r="M693" s="2">
        <v>537.44000000000005</v>
      </c>
      <c r="N693" t="s">
        <v>24</v>
      </c>
      <c r="O693" t="s">
        <v>108</v>
      </c>
      <c r="P693" t="s">
        <v>55</v>
      </c>
    </row>
    <row r="694" spans="1:16" x14ac:dyDescent="0.3">
      <c r="A694" t="s">
        <v>1375</v>
      </c>
      <c r="B694" s="1">
        <v>46374</v>
      </c>
      <c r="C694" t="s">
        <v>303</v>
      </c>
      <c r="D694" t="s">
        <v>18</v>
      </c>
      <c r="E694" t="s">
        <v>19</v>
      </c>
      <c r="F694" t="s">
        <v>20</v>
      </c>
      <c r="G694" t="s">
        <v>76</v>
      </c>
      <c r="H694" t="s">
        <v>77</v>
      </c>
      <c r="I694" t="s">
        <v>171</v>
      </c>
      <c r="J694" s="2">
        <v>7600</v>
      </c>
      <c r="K694">
        <v>5</v>
      </c>
      <c r="L694" s="2">
        <v>0.05</v>
      </c>
      <c r="M694" s="2">
        <v>1734.86</v>
      </c>
      <c r="N694" t="s">
        <v>114</v>
      </c>
      <c r="O694" t="s">
        <v>65</v>
      </c>
      <c r="P694" t="s">
        <v>55</v>
      </c>
    </row>
    <row r="695" spans="1:16" x14ac:dyDescent="0.3">
      <c r="A695" t="s">
        <v>1295</v>
      </c>
      <c r="B695" s="1">
        <v>46313</v>
      </c>
      <c r="C695" t="s">
        <v>225</v>
      </c>
      <c r="D695" t="s">
        <v>29</v>
      </c>
      <c r="E695" t="s">
        <v>30</v>
      </c>
      <c r="F695" t="s">
        <v>31</v>
      </c>
      <c r="G695" t="s">
        <v>32</v>
      </c>
      <c r="H695" t="s">
        <v>84</v>
      </c>
      <c r="I695" t="s">
        <v>85</v>
      </c>
      <c r="J695" s="2">
        <v>75000</v>
      </c>
      <c r="K695">
        <v>6</v>
      </c>
      <c r="L695" s="2">
        <v>0</v>
      </c>
      <c r="M695" s="2">
        <v>16663.41</v>
      </c>
      <c r="N695" t="s">
        <v>45</v>
      </c>
      <c r="O695" t="s">
        <v>86</v>
      </c>
      <c r="P695" t="s">
        <v>55</v>
      </c>
    </row>
    <row r="696" spans="1:16" x14ac:dyDescent="0.3">
      <c r="A696" t="s">
        <v>1167</v>
      </c>
      <c r="B696" s="1">
        <v>46218</v>
      </c>
      <c r="C696" t="s">
        <v>582</v>
      </c>
      <c r="D696" t="s">
        <v>39</v>
      </c>
      <c r="E696" t="s">
        <v>40</v>
      </c>
      <c r="F696" t="s">
        <v>41</v>
      </c>
      <c r="G696" t="s">
        <v>42</v>
      </c>
      <c r="H696" t="s">
        <v>279</v>
      </c>
      <c r="I696" t="s">
        <v>280</v>
      </c>
      <c r="J696" s="2">
        <v>67500</v>
      </c>
      <c r="K696">
        <v>6</v>
      </c>
      <c r="L696" s="2">
        <v>0.1</v>
      </c>
      <c r="M696" s="2">
        <v>13731.78</v>
      </c>
      <c r="N696" t="s">
        <v>64</v>
      </c>
      <c r="O696" t="s">
        <v>71</v>
      </c>
      <c r="P696" t="s">
        <v>55</v>
      </c>
    </row>
    <row r="697" spans="1:16" x14ac:dyDescent="0.3">
      <c r="A697" t="s">
        <v>1162</v>
      </c>
      <c r="B697" s="1">
        <v>46215</v>
      </c>
      <c r="C697" t="s">
        <v>869</v>
      </c>
      <c r="D697" t="s">
        <v>68</v>
      </c>
      <c r="E697" t="s">
        <v>69</v>
      </c>
      <c r="F697" t="s">
        <v>41</v>
      </c>
      <c r="G697" t="s">
        <v>61</v>
      </c>
      <c r="H697" t="s">
        <v>62</v>
      </c>
      <c r="I697" t="s">
        <v>70</v>
      </c>
      <c r="J697" s="2">
        <v>10260</v>
      </c>
      <c r="K697">
        <v>6</v>
      </c>
      <c r="L697" s="2">
        <v>0.05</v>
      </c>
      <c r="M697" s="2">
        <v>2126.2800000000002</v>
      </c>
      <c r="N697" t="s">
        <v>64</v>
      </c>
      <c r="O697" t="s">
        <v>79</v>
      </c>
      <c r="P697" t="s">
        <v>55</v>
      </c>
    </row>
    <row r="698" spans="1:16" x14ac:dyDescent="0.3">
      <c r="A698" t="s">
        <v>136</v>
      </c>
      <c r="B698" s="1">
        <v>45677</v>
      </c>
      <c r="C698" t="s">
        <v>137</v>
      </c>
      <c r="D698" t="s">
        <v>39</v>
      </c>
      <c r="E698" t="s">
        <v>40</v>
      </c>
      <c r="F698" t="s">
        <v>41</v>
      </c>
      <c r="G698" t="s">
        <v>42</v>
      </c>
      <c r="H698" t="s">
        <v>53</v>
      </c>
      <c r="I698" t="s">
        <v>120</v>
      </c>
      <c r="J698" s="2">
        <v>14280</v>
      </c>
      <c r="K698">
        <v>4</v>
      </c>
      <c r="L698" s="2">
        <v>0.15</v>
      </c>
      <c r="M698" s="2">
        <v>1104.57</v>
      </c>
      <c r="N698" t="s">
        <v>64</v>
      </c>
      <c r="O698" t="s">
        <v>36</v>
      </c>
      <c r="P698" t="s">
        <v>47</v>
      </c>
    </row>
    <row r="699" spans="1:16" x14ac:dyDescent="0.3">
      <c r="A699" t="s">
        <v>1250</v>
      </c>
      <c r="B699" s="1">
        <v>46285</v>
      </c>
      <c r="C699" t="s">
        <v>244</v>
      </c>
      <c r="D699" t="s">
        <v>91</v>
      </c>
      <c r="E699" t="s">
        <v>91</v>
      </c>
      <c r="F699" t="s">
        <v>60</v>
      </c>
      <c r="G699" t="s">
        <v>32</v>
      </c>
      <c r="H699" t="s">
        <v>33</v>
      </c>
      <c r="I699" t="s">
        <v>34</v>
      </c>
      <c r="J699" s="2">
        <v>27900</v>
      </c>
      <c r="K699">
        <v>5</v>
      </c>
      <c r="L699" s="2">
        <v>0.1</v>
      </c>
      <c r="M699" s="2">
        <v>2961.97</v>
      </c>
      <c r="N699" t="s">
        <v>45</v>
      </c>
      <c r="O699" t="s">
        <v>79</v>
      </c>
      <c r="P699" t="s">
        <v>47</v>
      </c>
    </row>
    <row r="700" spans="1:16" x14ac:dyDescent="0.3">
      <c r="A700" t="s">
        <v>767</v>
      </c>
      <c r="B700" s="1">
        <v>45978</v>
      </c>
      <c r="C700" t="s">
        <v>412</v>
      </c>
      <c r="D700" t="s">
        <v>173</v>
      </c>
      <c r="E700" t="s">
        <v>174</v>
      </c>
      <c r="F700" t="s">
        <v>60</v>
      </c>
      <c r="G700" t="s">
        <v>76</v>
      </c>
      <c r="H700" t="s">
        <v>77</v>
      </c>
      <c r="I700" t="s">
        <v>78</v>
      </c>
      <c r="J700" s="2">
        <v>2160</v>
      </c>
      <c r="K700">
        <v>1</v>
      </c>
      <c r="L700" s="2">
        <v>0.1</v>
      </c>
      <c r="M700" s="2">
        <v>449.16</v>
      </c>
      <c r="N700" t="s">
        <v>114</v>
      </c>
      <c r="O700" t="s">
        <v>46</v>
      </c>
      <c r="P700" t="s">
        <v>55</v>
      </c>
    </row>
    <row r="701" spans="1:16" x14ac:dyDescent="0.3">
      <c r="A701" t="s">
        <v>1278</v>
      </c>
      <c r="B701" s="1">
        <v>46300</v>
      </c>
      <c r="C701" t="s">
        <v>592</v>
      </c>
      <c r="D701" t="s">
        <v>91</v>
      </c>
      <c r="E701" t="s">
        <v>91</v>
      </c>
      <c r="F701" t="s">
        <v>60</v>
      </c>
      <c r="G701" t="s">
        <v>32</v>
      </c>
      <c r="H701" t="s">
        <v>33</v>
      </c>
      <c r="I701" t="s">
        <v>34</v>
      </c>
      <c r="J701" s="2">
        <v>15810</v>
      </c>
      <c r="K701">
        <v>3</v>
      </c>
      <c r="L701" s="2">
        <v>0.15</v>
      </c>
      <c r="M701" s="2">
        <v>1306.17</v>
      </c>
      <c r="N701" t="s">
        <v>64</v>
      </c>
      <c r="O701" t="s">
        <v>46</v>
      </c>
      <c r="P701" t="s">
        <v>47</v>
      </c>
    </row>
    <row r="702" spans="1:16" x14ac:dyDescent="0.3">
      <c r="A702" t="s">
        <v>208</v>
      </c>
      <c r="B702" s="1">
        <v>45709</v>
      </c>
      <c r="C702" t="s">
        <v>209</v>
      </c>
      <c r="D702" t="s">
        <v>166</v>
      </c>
      <c r="E702" t="s">
        <v>75</v>
      </c>
      <c r="F702" t="s">
        <v>20</v>
      </c>
      <c r="G702" t="s">
        <v>42</v>
      </c>
      <c r="H702" t="s">
        <v>43</v>
      </c>
      <c r="I702" t="s">
        <v>44</v>
      </c>
      <c r="J702" s="2">
        <v>42500</v>
      </c>
      <c r="K702">
        <v>5</v>
      </c>
      <c r="L702" s="2">
        <v>0</v>
      </c>
      <c r="M702" s="2">
        <v>11071.61</v>
      </c>
      <c r="N702" t="s">
        <v>24</v>
      </c>
      <c r="O702" t="s">
        <v>25</v>
      </c>
      <c r="P702" t="s">
        <v>47</v>
      </c>
    </row>
    <row r="703" spans="1:16" x14ac:dyDescent="0.3">
      <c r="A703" t="s">
        <v>1312</v>
      </c>
      <c r="B703" s="1">
        <v>46321</v>
      </c>
      <c r="C703" t="s">
        <v>540</v>
      </c>
      <c r="D703" t="s">
        <v>96</v>
      </c>
      <c r="E703" t="s">
        <v>97</v>
      </c>
      <c r="F703" t="s">
        <v>20</v>
      </c>
      <c r="G703" t="s">
        <v>76</v>
      </c>
      <c r="H703" t="s">
        <v>77</v>
      </c>
      <c r="I703" t="s">
        <v>171</v>
      </c>
      <c r="J703" s="2">
        <v>8000</v>
      </c>
      <c r="K703">
        <v>5</v>
      </c>
      <c r="L703" s="2">
        <v>0</v>
      </c>
      <c r="M703" s="2">
        <v>1812.32</v>
      </c>
      <c r="N703" t="s">
        <v>64</v>
      </c>
      <c r="O703" t="s">
        <v>108</v>
      </c>
      <c r="P703" t="s">
        <v>47</v>
      </c>
    </row>
    <row r="704" spans="1:16" x14ac:dyDescent="0.3">
      <c r="A704" t="s">
        <v>1186</v>
      </c>
      <c r="B704" s="1">
        <v>46232</v>
      </c>
      <c r="C704" t="s">
        <v>194</v>
      </c>
      <c r="D704" t="s">
        <v>91</v>
      </c>
      <c r="E704" t="s">
        <v>91</v>
      </c>
      <c r="F704" t="s">
        <v>60</v>
      </c>
      <c r="G704" t="s">
        <v>21</v>
      </c>
      <c r="H704" t="s">
        <v>179</v>
      </c>
      <c r="I704" t="s">
        <v>180</v>
      </c>
      <c r="J704" s="2">
        <v>8160</v>
      </c>
      <c r="K704">
        <v>4</v>
      </c>
      <c r="L704" s="2">
        <v>0.15</v>
      </c>
      <c r="M704" s="2">
        <v>2199.58</v>
      </c>
      <c r="N704" t="s">
        <v>24</v>
      </c>
      <c r="O704" t="s">
        <v>105</v>
      </c>
      <c r="P704" t="s">
        <v>26</v>
      </c>
    </row>
    <row r="705" spans="1:16" x14ac:dyDescent="0.3">
      <c r="A705" t="s">
        <v>1345</v>
      </c>
      <c r="B705" s="1">
        <v>46346</v>
      </c>
      <c r="C705" t="s">
        <v>521</v>
      </c>
      <c r="D705" t="s">
        <v>50</v>
      </c>
      <c r="E705" t="s">
        <v>51</v>
      </c>
      <c r="F705" t="s">
        <v>52</v>
      </c>
      <c r="G705" t="s">
        <v>21</v>
      </c>
      <c r="H705" t="s">
        <v>22</v>
      </c>
      <c r="I705" t="s">
        <v>111</v>
      </c>
      <c r="J705" s="2">
        <v>510</v>
      </c>
      <c r="K705">
        <v>2</v>
      </c>
      <c r="L705" s="2">
        <v>0.15</v>
      </c>
      <c r="M705" s="2">
        <v>70.47</v>
      </c>
      <c r="N705" t="s">
        <v>64</v>
      </c>
      <c r="O705" t="s">
        <v>36</v>
      </c>
      <c r="P705" t="s">
        <v>55</v>
      </c>
    </row>
    <row r="706" spans="1:16" x14ac:dyDescent="0.3">
      <c r="A706" t="s">
        <v>456</v>
      </c>
      <c r="B706" s="1">
        <v>45801</v>
      </c>
      <c r="C706" t="s">
        <v>457</v>
      </c>
      <c r="D706" t="s">
        <v>18</v>
      </c>
      <c r="E706" t="s">
        <v>19</v>
      </c>
      <c r="F706" t="s">
        <v>20</v>
      </c>
      <c r="G706" t="s">
        <v>42</v>
      </c>
      <c r="H706" t="s">
        <v>53</v>
      </c>
      <c r="I706" t="s">
        <v>120</v>
      </c>
      <c r="J706" s="2">
        <v>11340</v>
      </c>
      <c r="K706">
        <v>3</v>
      </c>
      <c r="L706" s="2">
        <v>0.1</v>
      </c>
      <c r="M706" s="2">
        <v>1416.63</v>
      </c>
      <c r="N706" t="s">
        <v>64</v>
      </c>
      <c r="O706" t="s">
        <v>108</v>
      </c>
      <c r="P706" t="s">
        <v>47</v>
      </c>
    </row>
    <row r="707" spans="1:16" x14ac:dyDescent="0.3">
      <c r="A707" t="s">
        <v>896</v>
      </c>
      <c r="B707" s="1">
        <v>46056</v>
      </c>
      <c r="C707" t="s">
        <v>561</v>
      </c>
      <c r="D707" t="s">
        <v>91</v>
      </c>
      <c r="E707" t="s">
        <v>91</v>
      </c>
      <c r="F707" t="s">
        <v>60</v>
      </c>
      <c r="G707" t="s">
        <v>76</v>
      </c>
      <c r="H707" t="s">
        <v>122</v>
      </c>
      <c r="I707" t="s">
        <v>217</v>
      </c>
      <c r="J707" s="2">
        <v>6840</v>
      </c>
      <c r="K707">
        <v>4</v>
      </c>
      <c r="L707" s="2">
        <v>0.05</v>
      </c>
      <c r="M707" s="2">
        <v>1381.74</v>
      </c>
      <c r="N707" t="s">
        <v>35</v>
      </c>
      <c r="O707" t="s">
        <v>71</v>
      </c>
      <c r="P707" t="s">
        <v>55</v>
      </c>
    </row>
    <row r="708" spans="1:16" x14ac:dyDescent="0.3">
      <c r="A708" t="s">
        <v>334</v>
      </c>
      <c r="B708" s="1">
        <v>45750</v>
      </c>
      <c r="C708" t="s">
        <v>164</v>
      </c>
      <c r="D708" t="s">
        <v>58</v>
      </c>
      <c r="E708" t="s">
        <v>59</v>
      </c>
      <c r="F708" t="s">
        <v>60</v>
      </c>
      <c r="G708" t="s">
        <v>61</v>
      </c>
      <c r="H708" t="s">
        <v>128</v>
      </c>
      <c r="I708" t="s">
        <v>129</v>
      </c>
      <c r="J708" s="2">
        <v>208000</v>
      </c>
      <c r="K708">
        <v>4</v>
      </c>
      <c r="L708" s="2">
        <v>0</v>
      </c>
      <c r="M708" s="2">
        <v>57115.199999999997</v>
      </c>
      <c r="N708" t="s">
        <v>64</v>
      </c>
      <c r="O708" t="s">
        <v>25</v>
      </c>
      <c r="P708" t="s">
        <v>47</v>
      </c>
    </row>
    <row r="709" spans="1:16" x14ac:dyDescent="0.3">
      <c r="A709" t="s">
        <v>1217</v>
      </c>
      <c r="B709" s="1">
        <v>46257</v>
      </c>
      <c r="C709" t="s">
        <v>305</v>
      </c>
      <c r="D709" t="s">
        <v>119</v>
      </c>
      <c r="E709" t="s">
        <v>75</v>
      </c>
      <c r="F709" t="s">
        <v>20</v>
      </c>
      <c r="G709" t="s">
        <v>61</v>
      </c>
      <c r="H709" t="s">
        <v>98</v>
      </c>
      <c r="I709" t="s">
        <v>99</v>
      </c>
      <c r="J709" s="2">
        <v>135000</v>
      </c>
      <c r="K709">
        <v>5</v>
      </c>
      <c r="L709" s="2">
        <v>0.1</v>
      </c>
      <c r="M709" s="2">
        <v>27598.97</v>
      </c>
      <c r="N709" t="s">
        <v>35</v>
      </c>
      <c r="O709" t="s">
        <v>36</v>
      </c>
      <c r="P709" t="s">
        <v>55</v>
      </c>
    </row>
    <row r="710" spans="1:16" x14ac:dyDescent="0.3">
      <c r="A710" t="s">
        <v>610</v>
      </c>
      <c r="B710" s="1">
        <v>45886</v>
      </c>
      <c r="C710" t="s">
        <v>611</v>
      </c>
      <c r="D710" t="s">
        <v>68</v>
      </c>
      <c r="E710" t="s">
        <v>69</v>
      </c>
      <c r="F710" t="s">
        <v>41</v>
      </c>
      <c r="G710" t="s">
        <v>21</v>
      </c>
      <c r="H710" t="s">
        <v>175</v>
      </c>
      <c r="I710" t="s">
        <v>176</v>
      </c>
      <c r="J710" s="2">
        <v>2340</v>
      </c>
      <c r="K710">
        <v>4</v>
      </c>
      <c r="L710" s="2">
        <v>0.1</v>
      </c>
      <c r="M710" s="2">
        <v>188.46</v>
      </c>
      <c r="N710" t="s">
        <v>64</v>
      </c>
      <c r="O710" t="s">
        <v>79</v>
      </c>
      <c r="P710" t="s">
        <v>26</v>
      </c>
    </row>
    <row r="711" spans="1:16" x14ac:dyDescent="0.3">
      <c r="A711" t="s">
        <v>672</v>
      </c>
      <c r="B711" s="1">
        <v>45923</v>
      </c>
      <c r="C711" t="s">
        <v>575</v>
      </c>
      <c r="D711" t="s">
        <v>173</v>
      </c>
      <c r="E711" t="s">
        <v>174</v>
      </c>
      <c r="F711" t="s">
        <v>60</v>
      </c>
      <c r="G711" t="s">
        <v>76</v>
      </c>
      <c r="H711" t="s">
        <v>122</v>
      </c>
      <c r="I711" t="s">
        <v>217</v>
      </c>
      <c r="J711" s="2">
        <v>10260</v>
      </c>
      <c r="K711">
        <v>6</v>
      </c>
      <c r="L711" s="2">
        <v>0.05</v>
      </c>
      <c r="M711" s="2">
        <v>931.17</v>
      </c>
      <c r="N711" t="s">
        <v>24</v>
      </c>
      <c r="O711" t="s">
        <v>105</v>
      </c>
      <c r="P711" t="s">
        <v>55</v>
      </c>
    </row>
    <row r="712" spans="1:16" x14ac:dyDescent="0.3">
      <c r="A712" t="s">
        <v>891</v>
      </c>
      <c r="B712" s="1">
        <v>46050</v>
      </c>
      <c r="C712" t="s">
        <v>81</v>
      </c>
      <c r="D712" t="s">
        <v>74</v>
      </c>
      <c r="E712" t="s">
        <v>75</v>
      </c>
      <c r="F712" t="s">
        <v>20</v>
      </c>
      <c r="G712" t="s">
        <v>32</v>
      </c>
      <c r="H712" t="s">
        <v>33</v>
      </c>
      <c r="I712" t="s">
        <v>34</v>
      </c>
      <c r="J712" s="2">
        <v>27900</v>
      </c>
      <c r="K712">
        <v>5</v>
      </c>
      <c r="L712" s="2">
        <v>0.1</v>
      </c>
      <c r="M712" s="2">
        <v>6935.19</v>
      </c>
      <c r="N712" t="s">
        <v>114</v>
      </c>
      <c r="O712" t="s">
        <v>46</v>
      </c>
      <c r="P712" t="s">
        <v>55</v>
      </c>
    </row>
    <row r="713" spans="1:16" x14ac:dyDescent="0.3">
      <c r="A713" t="s">
        <v>1117</v>
      </c>
      <c r="B713" s="1">
        <v>46185</v>
      </c>
      <c r="C713" t="s">
        <v>642</v>
      </c>
      <c r="D713" t="s">
        <v>39</v>
      </c>
      <c r="E713" t="s">
        <v>40</v>
      </c>
      <c r="F713" t="s">
        <v>41</v>
      </c>
      <c r="G713" t="s">
        <v>61</v>
      </c>
      <c r="H713" t="s">
        <v>98</v>
      </c>
      <c r="I713" t="s">
        <v>99</v>
      </c>
      <c r="J713" s="2">
        <v>153000</v>
      </c>
      <c r="K713">
        <v>6</v>
      </c>
      <c r="L713" s="2">
        <v>0.15</v>
      </c>
      <c r="M713" s="2">
        <v>22533.05</v>
      </c>
      <c r="N713" t="s">
        <v>35</v>
      </c>
      <c r="O713" t="s">
        <v>71</v>
      </c>
      <c r="P713" t="s">
        <v>55</v>
      </c>
    </row>
    <row r="714" spans="1:16" x14ac:dyDescent="0.3">
      <c r="A714" t="s">
        <v>756</v>
      </c>
      <c r="B714" s="1">
        <v>45970</v>
      </c>
      <c r="C714" t="s">
        <v>296</v>
      </c>
      <c r="D714" t="s">
        <v>166</v>
      </c>
      <c r="E714" t="s">
        <v>75</v>
      </c>
      <c r="F714" t="s">
        <v>20</v>
      </c>
      <c r="G714" t="s">
        <v>21</v>
      </c>
      <c r="H714" t="s">
        <v>22</v>
      </c>
      <c r="I714" t="s">
        <v>111</v>
      </c>
      <c r="J714" s="2">
        <v>1800</v>
      </c>
      <c r="K714">
        <v>6</v>
      </c>
      <c r="L714" s="2">
        <v>0</v>
      </c>
      <c r="M714" s="2">
        <v>319.12</v>
      </c>
      <c r="N714" t="s">
        <v>64</v>
      </c>
      <c r="O714" t="s">
        <v>108</v>
      </c>
      <c r="P714" t="s">
        <v>55</v>
      </c>
    </row>
    <row r="715" spans="1:16" x14ac:dyDescent="0.3">
      <c r="A715" t="s">
        <v>1088</v>
      </c>
      <c r="B715" s="1">
        <v>46167</v>
      </c>
      <c r="C715" t="s">
        <v>853</v>
      </c>
      <c r="D715" t="s">
        <v>74</v>
      </c>
      <c r="E715" t="s">
        <v>75</v>
      </c>
      <c r="F715" t="s">
        <v>20</v>
      </c>
      <c r="G715" t="s">
        <v>61</v>
      </c>
      <c r="H715" t="s">
        <v>98</v>
      </c>
      <c r="I715" t="s">
        <v>99</v>
      </c>
      <c r="J715" s="2">
        <v>51000</v>
      </c>
      <c r="K715">
        <v>2</v>
      </c>
      <c r="L715" s="2">
        <v>0.15</v>
      </c>
      <c r="M715" s="2">
        <v>10464.42</v>
      </c>
      <c r="N715" t="s">
        <v>64</v>
      </c>
      <c r="O715" t="s">
        <v>65</v>
      </c>
      <c r="P715" t="s">
        <v>55</v>
      </c>
    </row>
    <row r="716" spans="1:16" x14ac:dyDescent="0.3">
      <c r="A716" t="s">
        <v>873</v>
      </c>
      <c r="B716" s="1">
        <v>46039</v>
      </c>
      <c r="C716" t="s">
        <v>557</v>
      </c>
      <c r="D716" t="s">
        <v>119</v>
      </c>
      <c r="E716" t="s">
        <v>75</v>
      </c>
      <c r="F716" t="s">
        <v>20</v>
      </c>
      <c r="G716" t="s">
        <v>61</v>
      </c>
      <c r="H716" t="s">
        <v>62</v>
      </c>
      <c r="I716" t="s">
        <v>63</v>
      </c>
      <c r="J716" s="2">
        <v>4590</v>
      </c>
      <c r="K716">
        <v>6</v>
      </c>
      <c r="L716" s="2">
        <v>0.15</v>
      </c>
      <c r="M716" s="2">
        <v>834.17</v>
      </c>
      <c r="N716" t="s">
        <v>24</v>
      </c>
      <c r="O716" t="s">
        <v>36</v>
      </c>
      <c r="P716" t="s">
        <v>26</v>
      </c>
    </row>
    <row r="717" spans="1:16" x14ac:dyDescent="0.3">
      <c r="A717" t="s">
        <v>1262</v>
      </c>
      <c r="B717" s="1">
        <v>46292</v>
      </c>
      <c r="C717" t="s">
        <v>869</v>
      </c>
      <c r="D717" t="s">
        <v>134</v>
      </c>
      <c r="E717" t="s">
        <v>75</v>
      </c>
      <c r="F717" t="s">
        <v>20</v>
      </c>
      <c r="G717" t="s">
        <v>42</v>
      </c>
      <c r="H717" t="s">
        <v>53</v>
      </c>
      <c r="I717" t="s">
        <v>54</v>
      </c>
      <c r="J717" s="2">
        <v>3240</v>
      </c>
      <c r="K717">
        <v>2</v>
      </c>
      <c r="L717" s="2">
        <v>0.1</v>
      </c>
      <c r="M717" s="2">
        <v>673.11</v>
      </c>
      <c r="N717" t="s">
        <v>24</v>
      </c>
      <c r="O717" t="s">
        <v>108</v>
      </c>
      <c r="P717" t="s">
        <v>26</v>
      </c>
    </row>
    <row r="718" spans="1:16" x14ac:dyDescent="0.3">
      <c r="A718" t="s">
        <v>1336</v>
      </c>
      <c r="B718" s="1">
        <v>46342</v>
      </c>
      <c r="C718" t="s">
        <v>38</v>
      </c>
      <c r="D718" t="s">
        <v>39</v>
      </c>
      <c r="E718" t="s">
        <v>40</v>
      </c>
      <c r="F718" t="s">
        <v>41</v>
      </c>
      <c r="G718" t="s">
        <v>42</v>
      </c>
      <c r="H718" t="s">
        <v>43</v>
      </c>
      <c r="I718" t="s">
        <v>44</v>
      </c>
      <c r="J718" s="2">
        <v>21675</v>
      </c>
      <c r="K718">
        <v>3</v>
      </c>
      <c r="L718" s="2">
        <v>0.15</v>
      </c>
      <c r="M718" s="2">
        <v>3083.57</v>
      </c>
      <c r="N718" t="s">
        <v>35</v>
      </c>
      <c r="O718" t="s">
        <v>65</v>
      </c>
      <c r="P718" t="s">
        <v>47</v>
      </c>
    </row>
    <row r="719" spans="1:16" x14ac:dyDescent="0.3">
      <c r="A719" t="s">
        <v>772</v>
      </c>
      <c r="B719" s="1">
        <v>45980</v>
      </c>
      <c r="C719" t="s">
        <v>696</v>
      </c>
      <c r="D719" t="s">
        <v>39</v>
      </c>
      <c r="E719" t="s">
        <v>40</v>
      </c>
      <c r="F719" t="s">
        <v>41</v>
      </c>
      <c r="G719" t="s">
        <v>61</v>
      </c>
      <c r="H719" t="s">
        <v>98</v>
      </c>
      <c r="I719" t="s">
        <v>99</v>
      </c>
      <c r="J719" s="2">
        <v>127500</v>
      </c>
      <c r="K719">
        <v>5</v>
      </c>
      <c r="L719" s="2">
        <v>0.15</v>
      </c>
      <c r="M719" s="2">
        <v>28473.74</v>
      </c>
      <c r="N719" t="s">
        <v>64</v>
      </c>
      <c r="O719" t="s">
        <v>36</v>
      </c>
      <c r="P719" t="s">
        <v>26</v>
      </c>
    </row>
    <row r="720" spans="1:16" x14ac:dyDescent="0.3">
      <c r="A720" t="s">
        <v>1083</v>
      </c>
      <c r="B720" s="1">
        <v>46160</v>
      </c>
      <c r="C720" t="s">
        <v>278</v>
      </c>
      <c r="D720" t="s">
        <v>82</v>
      </c>
      <c r="E720" t="s">
        <v>83</v>
      </c>
      <c r="F720" t="s">
        <v>52</v>
      </c>
      <c r="G720" t="s">
        <v>21</v>
      </c>
      <c r="H720" t="s">
        <v>179</v>
      </c>
      <c r="I720" t="s">
        <v>180</v>
      </c>
      <c r="J720" s="2">
        <v>6480</v>
      </c>
      <c r="K720">
        <v>3</v>
      </c>
      <c r="L720" s="2">
        <v>0.1</v>
      </c>
      <c r="M720" s="2">
        <v>1128.96</v>
      </c>
      <c r="N720" t="s">
        <v>114</v>
      </c>
      <c r="O720" t="s">
        <v>135</v>
      </c>
      <c r="P720" t="s">
        <v>55</v>
      </c>
    </row>
    <row r="721" spans="1:16" x14ac:dyDescent="0.3">
      <c r="A721" t="s">
        <v>799</v>
      </c>
      <c r="B721" s="1">
        <v>45996</v>
      </c>
      <c r="C721" t="s">
        <v>588</v>
      </c>
      <c r="D721" t="s">
        <v>18</v>
      </c>
      <c r="E721" t="s">
        <v>19</v>
      </c>
      <c r="F721" t="s">
        <v>20</v>
      </c>
      <c r="G721" t="s">
        <v>61</v>
      </c>
      <c r="H721" t="s">
        <v>98</v>
      </c>
      <c r="I721" t="s">
        <v>156</v>
      </c>
      <c r="J721" s="2">
        <v>64600</v>
      </c>
      <c r="K721">
        <v>2</v>
      </c>
      <c r="L721" s="2">
        <v>0.15</v>
      </c>
      <c r="M721" s="2">
        <v>4865.76</v>
      </c>
      <c r="N721" t="s">
        <v>45</v>
      </c>
      <c r="O721" t="s">
        <v>65</v>
      </c>
      <c r="P721" t="s">
        <v>47</v>
      </c>
    </row>
    <row r="722" spans="1:16" x14ac:dyDescent="0.3">
      <c r="A722" t="s">
        <v>545</v>
      </c>
      <c r="B722" s="1">
        <v>45860</v>
      </c>
      <c r="C722" t="s">
        <v>338</v>
      </c>
      <c r="D722" t="s">
        <v>152</v>
      </c>
      <c r="E722" t="s">
        <v>153</v>
      </c>
      <c r="F722" t="s">
        <v>20</v>
      </c>
      <c r="G722" t="s">
        <v>21</v>
      </c>
      <c r="H722" t="s">
        <v>22</v>
      </c>
      <c r="I722" t="s">
        <v>23</v>
      </c>
      <c r="J722" s="2">
        <v>2025</v>
      </c>
      <c r="K722">
        <v>5</v>
      </c>
      <c r="L722" s="2">
        <v>0.1</v>
      </c>
      <c r="M722" s="2">
        <v>199.21</v>
      </c>
      <c r="N722" t="s">
        <v>64</v>
      </c>
      <c r="O722" t="s">
        <v>65</v>
      </c>
      <c r="P722" t="s">
        <v>55</v>
      </c>
    </row>
    <row r="723" spans="1:16" x14ac:dyDescent="0.3">
      <c r="A723" t="s">
        <v>591</v>
      </c>
      <c r="B723" s="1">
        <v>45878</v>
      </c>
      <c r="C723" t="s">
        <v>592</v>
      </c>
      <c r="D723" t="s">
        <v>50</v>
      </c>
      <c r="E723" t="s">
        <v>51</v>
      </c>
      <c r="F723" t="s">
        <v>52</v>
      </c>
      <c r="G723" t="s">
        <v>21</v>
      </c>
      <c r="H723" t="s">
        <v>179</v>
      </c>
      <c r="I723" t="s">
        <v>180</v>
      </c>
      <c r="J723" s="2">
        <v>13680</v>
      </c>
      <c r="K723">
        <v>6</v>
      </c>
      <c r="L723" s="2">
        <v>0.05</v>
      </c>
      <c r="M723" s="2">
        <v>2473.5</v>
      </c>
      <c r="N723" t="s">
        <v>24</v>
      </c>
      <c r="O723" t="s">
        <v>25</v>
      </c>
      <c r="P723" t="s">
        <v>47</v>
      </c>
    </row>
    <row r="724" spans="1:16" x14ac:dyDescent="0.3">
      <c r="A724" t="s">
        <v>1135</v>
      </c>
      <c r="B724" s="1">
        <v>46200</v>
      </c>
      <c r="C724" t="s">
        <v>1108</v>
      </c>
      <c r="D724" t="s">
        <v>18</v>
      </c>
      <c r="E724" t="s">
        <v>19</v>
      </c>
      <c r="F724" t="s">
        <v>20</v>
      </c>
      <c r="G724" t="s">
        <v>32</v>
      </c>
      <c r="H724" t="s">
        <v>84</v>
      </c>
      <c r="I724" t="s">
        <v>85</v>
      </c>
      <c r="J724" s="2">
        <v>11875</v>
      </c>
      <c r="K724">
        <v>1</v>
      </c>
      <c r="L724" s="2">
        <v>0.05</v>
      </c>
      <c r="M724" s="2">
        <v>997.43</v>
      </c>
      <c r="N724" t="s">
        <v>35</v>
      </c>
      <c r="O724" t="s">
        <v>36</v>
      </c>
      <c r="P724" t="s">
        <v>55</v>
      </c>
    </row>
    <row r="725" spans="1:16" x14ac:dyDescent="0.3">
      <c r="A725" t="s">
        <v>325</v>
      </c>
      <c r="B725" s="1">
        <v>45748</v>
      </c>
      <c r="C725" t="s">
        <v>326</v>
      </c>
      <c r="D725" t="s">
        <v>166</v>
      </c>
      <c r="E725" t="s">
        <v>75</v>
      </c>
      <c r="F725" t="s">
        <v>20</v>
      </c>
      <c r="G725" t="s">
        <v>42</v>
      </c>
      <c r="H725" t="s">
        <v>279</v>
      </c>
      <c r="I725" t="s">
        <v>280</v>
      </c>
      <c r="J725" s="2">
        <v>45000</v>
      </c>
      <c r="K725">
        <v>4</v>
      </c>
      <c r="L725" s="2">
        <v>0.1</v>
      </c>
      <c r="M725" s="2">
        <v>5914.43</v>
      </c>
      <c r="N725" t="s">
        <v>35</v>
      </c>
      <c r="O725" t="s">
        <v>25</v>
      </c>
      <c r="P725" t="s">
        <v>26</v>
      </c>
    </row>
    <row r="726" spans="1:16" x14ac:dyDescent="0.3">
      <c r="A726" t="s">
        <v>1329</v>
      </c>
      <c r="B726" s="1">
        <v>46333</v>
      </c>
      <c r="C726" t="s">
        <v>881</v>
      </c>
      <c r="D726" t="s">
        <v>91</v>
      </c>
      <c r="E726" t="s">
        <v>91</v>
      </c>
      <c r="F726" t="s">
        <v>60</v>
      </c>
      <c r="G726" t="s">
        <v>76</v>
      </c>
      <c r="H726" t="s">
        <v>122</v>
      </c>
      <c r="I726" t="s">
        <v>217</v>
      </c>
      <c r="J726" s="2">
        <v>9180</v>
      </c>
      <c r="K726">
        <v>6</v>
      </c>
      <c r="L726" s="2">
        <v>0.15</v>
      </c>
      <c r="M726" s="2">
        <v>1178.23</v>
      </c>
      <c r="N726" t="s">
        <v>114</v>
      </c>
      <c r="O726" t="s">
        <v>36</v>
      </c>
      <c r="P726" t="s">
        <v>55</v>
      </c>
    </row>
    <row r="727" spans="1:16" x14ac:dyDescent="0.3">
      <c r="A727" t="s">
        <v>1342</v>
      </c>
      <c r="B727" s="1">
        <v>46344</v>
      </c>
      <c r="C727" t="s">
        <v>431</v>
      </c>
      <c r="D727" t="s">
        <v>50</v>
      </c>
      <c r="E727" t="s">
        <v>51</v>
      </c>
      <c r="F727" t="s">
        <v>52</v>
      </c>
      <c r="G727" t="s">
        <v>61</v>
      </c>
      <c r="H727" t="s">
        <v>62</v>
      </c>
      <c r="I727" t="s">
        <v>70</v>
      </c>
      <c r="J727" s="2">
        <v>10800</v>
      </c>
      <c r="K727">
        <v>6</v>
      </c>
      <c r="L727" s="2">
        <v>0</v>
      </c>
      <c r="M727" s="2">
        <v>2604.7199999999998</v>
      </c>
      <c r="N727" t="s">
        <v>35</v>
      </c>
      <c r="O727" t="s">
        <v>105</v>
      </c>
      <c r="P727" t="s">
        <v>47</v>
      </c>
    </row>
    <row r="728" spans="1:16" x14ac:dyDescent="0.3">
      <c r="A728" t="s">
        <v>660</v>
      </c>
      <c r="B728" s="1">
        <v>45914</v>
      </c>
      <c r="C728" t="s">
        <v>472</v>
      </c>
      <c r="D728" t="s">
        <v>134</v>
      </c>
      <c r="E728" t="s">
        <v>75</v>
      </c>
      <c r="F728" t="s">
        <v>20</v>
      </c>
      <c r="G728" t="s">
        <v>61</v>
      </c>
      <c r="H728" t="s">
        <v>128</v>
      </c>
      <c r="I728" t="s">
        <v>195</v>
      </c>
      <c r="J728" s="2">
        <v>98600</v>
      </c>
      <c r="K728">
        <v>2</v>
      </c>
      <c r="L728" s="2">
        <v>0.15</v>
      </c>
      <c r="M728" s="2">
        <v>12953.37</v>
      </c>
      <c r="N728" t="s">
        <v>64</v>
      </c>
      <c r="O728" t="s">
        <v>79</v>
      </c>
      <c r="P728" t="s">
        <v>26</v>
      </c>
    </row>
    <row r="729" spans="1:16" x14ac:dyDescent="0.3">
      <c r="A729" t="s">
        <v>204</v>
      </c>
      <c r="B729" s="1">
        <v>45705</v>
      </c>
      <c r="C729" t="s">
        <v>205</v>
      </c>
      <c r="D729" t="s">
        <v>58</v>
      </c>
      <c r="E729" t="s">
        <v>59</v>
      </c>
      <c r="F729" t="s">
        <v>60</v>
      </c>
      <c r="G729" t="s">
        <v>61</v>
      </c>
      <c r="H729" t="s">
        <v>98</v>
      </c>
      <c r="I729" t="s">
        <v>99</v>
      </c>
      <c r="J729" s="2">
        <v>27000</v>
      </c>
      <c r="K729">
        <v>1</v>
      </c>
      <c r="L729" s="2">
        <v>0.1</v>
      </c>
      <c r="M729" s="2">
        <v>6247.84</v>
      </c>
      <c r="N729" t="s">
        <v>64</v>
      </c>
      <c r="O729" t="s">
        <v>105</v>
      </c>
      <c r="P729" t="s">
        <v>47</v>
      </c>
    </row>
    <row r="730" spans="1:16" x14ac:dyDescent="0.3">
      <c r="A730" t="s">
        <v>921</v>
      </c>
      <c r="B730" s="1">
        <v>46070</v>
      </c>
      <c r="C730" t="s">
        <v>841</v>
      </c>
      <c r="D730" t="s">
        <v>91</v>
      </c>
      <c r="E730" t="s">
        <v>91</v>
      </c>
      <c r="F730" t="s">
        <v>60</v>
      </c>
      <c r="G730" t="s">
        <v>61</v>
      </c>
      <c r="H730" t="s">
        <v>128</v>
      </c>
      <c r="I730" t="s">
        <v>129</v>
      </c>
      <c r="J730" s="2">
        <v>83200</v>
      </c>
      <c r="K730">
        <v>2</v>
      </c>
      <c r="L730" s="2">
        <v>0.2</v>
      </c>
      <c r="M730" s="2">
        <v>7650.63</v>
      </c>
      <c r="N730" t="s">
        <v>64</v>
      </c>
      <c r="O730" t="s">
        <v>86</v>
      </c>
      <c r="P730" t="s">
        <v>26</v>
      </c>
    </row>
    <row r="731" spans="1:16" x14ac:dyDescent="0.3">
      <c r="A731" t="s">
        <v>1156</v>
      </c>
      <c r="B731" s="1">
        <v>46212</v>
      </c>
      <c r="C731" t="s">
        <v>431</v>
      </c>
      <c r="D731" t="s">
        <v>68</v>
      </c>
      <c r="E731" t="s">
        <v>69</v>
      </c>
      <c r="F731" t="s">
        <v>41</v>
      </c>
      <c r="G731" t="s">
        <v>32</v>
      </c>
      <c r="H731" t="s">
        <v>84</v>
      </c>
      <c r="I731" t="s">
        <v>140</v>
      </c>
      <c r="J731" s="2">
        <v>6750</v>
      </c>
      <c r="K731">
        <v>1</v>
      </c>
      <c r="L731" s="2">
        <v>0.1</v>
      </c>
      <c r="M731" s="2">
        <v>586.1</v>
      </c>
      <c r="N731" t="s">
        <v>64</v>
      </c>
      <c r="O731" t="s">
        <v>71</v>
      </c>
      <c r="P731" t="s">
        <v>26</v>
      </c>
    </row>
    <row r="732" spans="1:16" x14ac:dyDescent="0.3">
      <c r="A732" t="s">
        <v>854</v>
      </c>
      <c r="B732" s="1">
        <v>46031</v>
      </c>
      <c r="C732" t="s">
        <v>160</v>
      </c>
      <c r="D732" t="s">
        <v>173</v>
      </c>
      <c r="E732" t="s">
        <v>174</v>
      </c>
      <c r="F732" t="s">
        <v>60</v>
      </c>
      <c r="G732" t="s">
        <v>32</v>
      </c>
      <c r="H732" t="s">
        <v>84</v>
      </c>
      <c r="I732" t="s">
        <v>140</v>
      </c>
      <c r="J732" s="2">
        <v>21375</v>
      </c>
      <c r="K732">
        <v>3</v>
      </c>
      <c r="L732" s="2">
        <v>0.05</v>
      </c>
      <c r="M732" s="2">
        <v>1834.71</v>
      </c>
      <c r="N732" t="s">
        <v>35</v>
      </c>
      <c r="O732" t="s">
        <v>25</v>
      </c>
      <c r="P732" t="s">
        <v>26</v>
      </c>
    </row>
    <row r="733" spans="1:16" x14ac:dyDescent="0.3">
      <c r="A733" t="s">
        <v>574</v>
      </c>
      <c r="B733" s="1">
        <v>45871</v>
      </c>
      <c r="C733" t="s">
        <v>575</v>
      </c>
      <c r="D733" t="s">
        <v>82</v>
      </c>
      <c r="E733" t="s">
        <v>83</v>
      </c>
      <c r="F733" t="s">
        <v>52</v>
      </c>
      <c r="G733" t="s">
        <v>61</v>
      </c>
      <c r="H733" t="s">
        <v>62</v>
      </c>
      <c r="I733" t="s">
        <v>70</v>
      </c>
      <c r="J733" s="2">
        <v>1710</v>
      </c>
      <c r="K733">
        <v>1</v>
      </c>
      <c r="L733" s="2">
        <v>0.05</v>
      </c>
      <c r="M733" s="2">
        <v>196.65</v>
      </c>
      <c r="N733" t="s">
        <v>35</v>
      </c>
      <c r="O733" t="s">
        <v>36</v>
      </c>
      <c r="P733" t="s">
        <v>55</v>
      </c>
    </row>
    <row r="734" spans="1:16" x14ac:dyDescent="0.3">
      <c r="A734" t="s">
        <v>1016</v>
      </c>
      <c r="B734" s="1">
        <v>46130</v>
      </c>
      <c r="C734" t="s">
        <v>609</v>
      </c>
      <c r="D734" t="s">
        <v>39</v>
      </c>
      <c r="E734" t="s">
        <v>40</v>
      </c>
      <c r="F734" t="s">
        <v>41</v>
      </c>
      <c r="G734" t="s">
        <v>61</v>
      </c>
      <c r="H734" t="s">
        <v>62</v>
      </c>
      <c r="I734" t="s">
        <v>63</v>
      </c>
      <c r="J734" s="2">
        <v>4320</v>
      </c>
      <c r="K734">
        <v>6</v>
      </c>
      <c r="L734" s="2">
        <v>0.2</v>
      </c>
      <c r="M734" s="2">
        <v>899.76</v>
      </c>
      <c r="N734" t="s">
        <v>24</v>
      </c>
      <c r="O734" t="s">
        <v>79</v>
      </c>
      <c r="P734" t="s">
        <v>47</v>
      </c>
    </row>
    <row r="735" spans="1:16" x14ac:dyDescent="0.3">
      <c r="A735" t="s">
        <v>1157</v>
      </c>
      <c r="B735" s="1">
        <v>46212</v>
      </c>
      <c r="C735" t="s">
        <v>268</v>
      </c>
      <c r="D735" t="s">
        <v>152</v>
      </c>
      <c r="E735" t="s">
        <v>153</v>
      </c>
      <c r="F735" t="s">
        <v>20</v>
      </c>
      <c r="G735" t="s">
        <v>21</v>
      </c>
      <c r="H735" t="s">
        <v>22</v>
      </c>
      <c r="I735" t="s">
        <v>23</v>
      </c>
      <c r="J735" s="2">
        <v>1282.5</v>
      </c>
      <c r="K735">
        <v>3</v>
      </c>
      <c r="L735" s="2">
        <v>0.05</v>
      </c>
      <c r="M735" s="2">
        <v>213.07</v>
      </c>
      <c r="N735" t="s">
        <v>45</v>
      </c>
      <c r="O735" t="s">
        <v>105</v>
      </c>
      <c r="P735" t="s">
        <v>47</v>
      </c>
    </row>
    <row r="736" spans="1:16" x14ac:dyDescent="0.3">
      <c r="A736" t="s">
        <v>1314</v>
      </c>
      <c r="B736" s="1">
        <v>46323</v>
      </c>
      <c r="C736" t="s">
        <v>884</v>
      </c>
      <c r="D736" t="s">
        <v>119</v>
      </c>
      <c r="E736" t="s">
        <v>75</v>
      </c>
      <c r="F736" t="s">
        <v>20</v>
      </c>
      <c r="G736" t="s">
        <v>61</v>
      </c>
      <c r="H736" t="s">
        <v>62</v>
      </c>
      <c r="I736" t="s">
        <v>63</v>
      </c>
      <c r="J736" s="2">
        <v>1800</v>
      </c>
      <c r="K736">
        <v>2</v>
      </c>
      <c r="L736" s="2">
        <v>0</v>
      </c>
      <c r="M736" s="2">
        <v>388.36</v>
      </c>
      <c r="N736" t="s">
        <v>24</v>
      </c>
      <c r="O736" t="s">
        <v>105</v>
      </c>
      <c r="P736" t="s">
        <v>47</v>
      </c>
    </row>
    <row r="737" spans="1:16" x14ac:dyDescent="0.3">
      <c r="A737" t="s">
        <v>862</v>
      </c>
      <c r="B737" s="1">
        <v>46036</v>
      </c>
      <c r="C737" t="s">
        <v>564</v>
      </c>
      <c r="D737" t="s">
        <v>119</v>
      </c>
      <c r="E737" t="s">
        <v>75</v>
      </c>
      <c r="F737" t="s">
        <v>20</v>
      </c>
      <c r="G737" t="s">
        <v>42</v>
      </c>
      <c r="H737" t="s">
        <v>53</v>
      </c>
      <c r="I737" t="s">
        <v>120</v>
      </c>
      <c r="J737" s="2">
        <v>17850</v>
      </c>
      <c r="K737">
        <v>5</v>
      </c>
      <c r="L737" s="2">
        <v>0.15</v>
      </c>
      <c r="M737" s="2">
        <v>3103.19</v>
      </c>
      <c r="N737" t="s">
        <v>24</v>
      </c>
      <c r="O737" t="s">
        <v>86</v>
      </c>
      <c r="P737" t="s">
        <v>55</v>
      </c>
    </row>
    <row r="738" spans="1:16" x14ac:dyDescent="0.3">
      <c r="A738" t="s">
        <v>698</v>
      </c>
      <c r="B738" s="1">
        <v>45932</v>
      </c>
      <c r="C738" t="s">
        <v>186</v>
      </c>
      <c r="D738" t="s">
        <v>173</v>
      </c>
      <c r="E738" t="s">
        <v>174</v>
      </c>
      <c r="F738" t="s">
        <v>60</v>
      </c>
      <c r="G738" t="s">
        <v>21</v>
      </c>
      <c r="H738" t="s">
        <v>22</v>
      </c>
      <c r="I738" t="s">
        <v>23</v>
      </c>
      <c r="J738" s="2">
        <v>450</v>
      </c>
      <c r="K738">
        <v>1</v>
      </c>
      <c r="L738" s="2">
        <v>0</v>
      </c>
      <c r="M738" s="2">
        <v>83.46</v>
      </c>
      <c r="N738" t="s">
        <v>45</v>
      </c>
      <c r="O738" t="s">
        <v>79</v>
      </c>
      <c r="P738" t="s">
        <v>47</v>
      </c>
    </row>
    <row r="739" spans="1:16" x14ac:dyDescent="0.3">
      <c r="A739" t="s">
        <v>1111</v>
      </c>
      <c r="B739" s="1">
        <v>46180</v>
      </c>
      <c r="C739" t="s">
        <v>1112</v>
      </c>
      <c r="D739" t="s">
        <v>166</v>
      </c>
      <c r="E739" t="s">
        <v>75</v>
      </c>
      <c r="F739" t="s">
        <v>20</v>
      </c>
      <c r="G739" t="s">
        <v>42</v>
      </c>
      <c r="H739" t="s">
        <v>53</v>
      </c>
      <c r="I739" t="s">
        <v>54</v>
      </c>
      <c r="J739" s="2">
        <v>3240</v>
      </c>
      <c r="K739">
        <v>2</v>
      </c>
      <c r="L739" s="2">
        <v>0.1</v>
      </c>
      <c r="M739" s="2">
        <v>397.32</v>
      </c>
      <c r="N739" t="s">
        <v>114</v>
      </c>
      <c r="O739" t="s">
        <v>105</v>
      </c>
      <c r="P739" t="s">
        <v>55</v>
      </c>
    </row>
    <row r="740" spans="1:16" x14ac:dyDescent="0.3">
      <c r="A740" t="s">
        <v>1227</v>
      </c>
      <c r="B740" s="1">
        <v>46264</v>
      </c>
      <c r="C740" t="s">
        <v>864</v>
      </c>
      <c r="D740" t="s">
        <v>29</v>
      </c>
      <c r="E740" t="s">
        <v>30</v>
      </c>
      <c r="F740" t="s">
        <v>31</v>
      </c>
      <c r="G740" t="s">
        <v>61</v>
      </c>
      <c r="H740" t="s">
        <v>98</v>
      </c>
      <c r="I740" t="s">
        <v>156</v>
      </c>
      <c r="J740" s="2">
        <v>68400</v>
      </c>
      <c r="K740">
        <v>2</v>
      </c>
      <c r="L740" s="2">
        <v>0.1</v>
      </c>
      <c r="M740" s="2">
        <v>8503.7800000000007</v>
      </c>
      <c r="N740" t="s">
        <v>114</v>
      </c>
      <c r="O740" t="s">
        <v>65</v>
      </c>
      <c r="P740" t="s">
        <v>55</v>
      </c>
    </row>
    <row r="741" spans="1:16" x14ac:dyDescent="0.3">
      <c r="A741" t="s">
        <v>659</v>
      </c>
      <c r="B741" s="1">
        <v>45914</v>
      </c>
      <c r="C741" t="s">
        <v>249</v>
      </c>
      <c r="D741" t="s">
        <v>134</v>
      </c>
      <c r="E741" t="s">
        <v>75</v>
      </c>
      <c r="F741" t="s">
        <v>20</v>
      </c>
      <c r="G741" t="s">
        <v>21</v>
      </c>
      <c r="H741" t="s">
        <v>175</v>
      </c>
      <c r="I741" t="s">
        <v>176</v>
      </c>
      <c r="J741" s="2">
        <v>585</v>
      </c>
      <c r="K741">
        <v>1</v>
      </c>
      <c r="L741" s="2">
        <v>0.1</v>
      </c>
      <c r="M741" s="2">
        <v>90.89</v>
      </c>
      <c r="N741" t="s">
        <v>24</v>
      </c>
      <c r="O741" t="s">
        <v>71</v>
      </c>
      <c r="P741" t="s">
        <v>55</v>
      </c>
    </row>
    <row r="742" spans="1:16" x14ac:dyDescent="0.3">
      <c r="A742" t="s">
        <v>237</v>
      </c>
      <c r="B742" s="1">
        <v>45725</v>
      </c>
      <c r="C742" t="s">
        <v>238</v>
      </c>
      <c r="D742" t="s">
        <v>134</v>
      </c>
      <c r="E742" t="s">
        <v>75</v>
      </c>
      <c r="F742" t="s">
        <v>20</v>
      </c>
      <c r="G742" t="s">
        <v>32</v>
      </c>
      <c r="H742" t="s">
        <v>84</v>
      </c>
      <c r="I742" t="s">
        <v>140</v>
      </c>
      <c r="J742" s="2">
        <v>30000</v>
      </c>
      <c r="K742">
        <v>4</v>
      </c>
      <c r="L742" s="2">
        <v>0</v>
      </c>
      <c r="M742" s="2">
        <v>6097.52</v>
      </c>
      <c r="N742" t="s">
        <v>114</v>
      </c>
      <c r="O742" t="s">
        <v>65</v>
      </c>
      <c r="P742" t="s">
        <v>55</v>
      </c>
    </row>
    <row r="743" spans="1:16" x14ac:dyDescent="0.3">
      <c r="A743" t="s">
        <v>1076</v>
      </c>
      <c r="B743" s="1">
        <v>46158</v>
      </c>
      <c r="C743" t="s">
        <v>289</v>
      </c>
      <c r="D743" t="s">
        <v>119</v>
      </c>
      <c r="E743" t="s">
        <v>75</v>
      </c>
      <c r="F743" t="s">
        <v>20</v>
      </c>
      <c r="G743" t="s">
        <v>42</v>
      </c>
      <c r="H743" t="s">
        <v>53</v>
      </c>
      <c r="I743" t="s">
        <v>54</v>
      </c>
      <c r="J743" s="2">
        <v>3240</v>
      </c>
      <c r="K743">
        <v>2</v>
      </c>
      <c r="L743" s="2">
        <v>0.1</v>
      </c>
      <c r="M743" s="2">
        <v>413.57</v>
      </c>
      <c r="N743" t="s">
        <v>45</v>
      </c>
      <c r="O743" t="s">
        <v>135</v>
      </c>
      <c r="P743" t="s">
        <v>26</v>
      </c>
    </row>
    <row r="744" spans="1:16" x14ac:dyDescent="0.3">
      <c r="A744" t="s">
        <v>925</v>
      </c>
      <c r="B744" s="1">
        <v>46074</v>
      </c>
      <c r="C744" t="s">
        <v>268</v>
      </c>
      <c r="D744" t="s">
        <v>74</v>
      </c>
      <c r="E744" t="s">
        <v>75</v>
      </c>
      <c r="F744" t="s">
        <v>20</v>
      </c>
      <c r="G744" t="s">
        <v>61</v>
      </c>
      <c r="H744" t="s">
        <v>128</v>
      </c>
      <c r="I744" t="s">
        <v>129</v>
      </c>
      <c r="J744" s="2">
        <v>208000</v>
      </c>
      <c r="K744">
        <v>4</v>
      </c>
      <c r="L744" s="2">
        <v>0</v>
      </c>
      <c r="M744" s="2">
        <v>43233.34</v>
      </c>
      <c r="N744" t="s">
        <v>114</v>
      </c>
      <c r="O744" t="s">
        <v>36</v>
      </c>
      <c r="P744" t="s">
        <v>55</v>
      </c>
    </row>
    <row r="745" spans="1:16" x14ac:dyDescent="0.3">
      <c r="A745" t="s">
        <v>677</v>
      </c>
      <c r="B745" s="1">
        <v>45924</v>
      </c>
      <c r="C745" t="s">
        <v>678</v>
      </c>
      <c r="D745" t="s">
        <v>134</v>
      </c>
      <c r="E745" t="s">
        <v>75</v>
      </c>
      <c r="F745" t="s">
        <v>20</v>
      </c>
      <c r="G745" t="s">
        <v>21</v>
      </c>
      <c r="H745" t="s">
        <v>179</v>
      </c>
      <c r="I745" t="s">
        <v>180</v>
      </c>
      <c r="J745" s="2">
        <v>10200</v>
      </c>
      <c r="K745">
        <v>5</v>
      </c>
      <c r="L745" s="2">
        <v>0.15</v>
      </c>
      <c r="M745" s="2">
        <v>1571.57</v>
      </c>
      <c r="N745" t="s">
        <v>24</v>
      </c>
      <c r="O745" t="s">
        <v>135</v>
      </c>
      <c r="P745" t="s">
        <v>26</v>
      </c>
    </row>
    <row r="746" spans="1:16" x14ac:dyDescent="0.3">
      <c r="A746" t="s">
        <v>452</v>
      </c>
      <c r="B746" s="1">
        <v>45799</v>
      </c>
      <c r="C746" t="s">
        <v>289</v>
      </c>
      <c r="D746" t="s">
        <v>134</v>
      </c>
      <c r="E746" t="s">
        <v>75</v>
      </c>
      <c r="F746" t="s">
        <v>20</v>
      </c>
      <c r="G746" t="s">
        <v>61</v>
      </c>
      <c r="H746" t="s">
        <v>98</v>
      </c>
      <c r="I746" t="s">
        <v>156</v>
      </c>
      <c r="J746" s="2">
        <v>205200</v>
      </c>
      <c r="K746">
        <v>6</v>
      </c>
      <c r="L746" s="2">
        <v>0.1</v>
      </c>
      <c r="M746" s="2">
        <v>28587.93</v>
      </c>
      <c r="N746" t="s">
        <v>114</v>
      </c>
      <c r="O746" t="s">
        <v>79</v>
      </c>
      <c r="P746" t="s">
        <v>26</v>
      </c>
    </row>
    <row r="747" spans="1:16" x14ac:dyDescent="0.3">
      <c r="A747" t="s">
        <v>159</v>
      </c>
      <c r="B747" s="1">
        <v>45688</v>
      </c>
      <c r="C747" t="s">
        <v>160</v>
      </c>
      <c r="D747" t="s">
        <v>68</v>
      </c>
      <c r="E747" t="s">
        <v>69</v>
      </c>
      <c r="F747" t="s">
        <v>41</v>
      </c>
      <c r="G747" t="s">
        <v>21</v>
      </c>
      <c r="H747" t="s">
        <v>22</v>
      </c>
      <c r="I747" t="s">
        <v>111</v>
      </c>
      <c r="J747" s="2">
        <v>285</v>
      </c>
      <c r="K747">
        <v>1</v>
      </c>
      <c r="L747" s="2">
        <v>0.05</v>
      </c>
      <c r="M747" s="2">
        <v>40.81</v>
      </c>
      <c r="N747" t="s">
        <v>64</v>
      </c>
      <c r="O747" t="s">
        <v>65</v>
      </c>
      <c r="P747" t="s">
        <v>47</v>
      </c>
    </row>
    <row r="748" spans="1:16" x14ac:dyDescent="0.3">
      <c r="A748" t="s">
        <v>1002</v>
      </c>
      <c r="B748" s="1">
        <v>46124</v>
      </c>
      <c r="C748" t="s">
        <v>740</v>
      </c>
      <c r="D748" t="s">
        <v>18</v>
      </c>
      <c r="E748" t="s">
        <v>19</v>
      </c>
      <c r="F748" t="s">
        <v>20</v>
      </c>
      <c r="G748" t="s">
        <v>61</v>
      </c>
      <c r="H748" t="s">
        <v>62</v>
      </c>
      <c r="I748" t="s">
        <v>63</v>
      </c>
      <c r="J748" s="2">
        <v>2700</v>
      </c>
      <c r="K748">
        <v>3</v>
      </c>
      <c r="L748" s="2">
        <v>0</v>
      </c>
      <c r="M748" s="2">
        <v>245.27</v>
      </c>
      <c r="N748" t="s">
        <v>64</v>
      </c>
      <c r="O748" t="s">
        <v>71</v>
      </c>
      <c r="P748" t="s">
        <v>26</v>
      </c>
    </row>
    <row r="749" spans="1:16" x14ac:dyDescent="0.3">
      <c r="A749" t="s">
        <v>1360</v>
      </c>
      <c r="B749" s="1">
        <v>46358</v>
      </c>
      <c r="C749" t="s">
        <v>49</v>
      </c>
      <c r="D749" t="s">
        <v>18</v>
      </c>
      <c r="E749" t="s">
        <v>19</v>
      </c>
      <c r="F749" t="s">
        <v>20</v>
      </c>
      <c r="G749" t="s">
        <v>76</v>
      </c>
      <c r="H749" t="s">
        <v>77</v>
      </c>
      <c r="I749" t="s">
        <v>78</v>
      </c>
      <c r="J749" s="2">
        <v>10200</v>
      </c>
      <c r="K749">
        <v>5</v>
      </c>
      <c r="L749" s="2">
        <v>0.15</v>
      </c>
      <c r="M749" s="2">
        <v>901.8</v>
      </c>
      <c r="N749" t="s">
        <v>114</v>
      </c>
      <c r="O749" t="s">
        <v>46</v>
      </c>
      <c r="P749" t="s">
        <v>26</v>
      </c>
    </row>
    <row r="750" spans="1:16" x14ac:dyDescent="0.3">
      <c r="A750" t="s">
        <v>1035</v>
      </c>
      <c r="B750" s="1">
        <v>46139</v>
      </c>
      <c r="C750" t="s">
        <v>164</v>
      </c>
      <c r="D750" t="s">
        <v>104</v>
      </c>
      <c r="E750" t="s">
        <v>83</v>
      </c>
      <c r="F750" t="s">
        <v>52</v>
      </c>
      <c r="G750" t="s">
        <v>76</v>
      </c>
      <c r="H750" t="s">
        <v>77</v>
      </c>
      <c r="I750" t="s">
        <v>171</v>
      </c>
      <c r="J750" s="2">
        <v>5760</v>
      </c>
      <c r="K750">
        <v>4</v>
      </c>
      <c r="L750" s="2">
        <v>0.1</v>
      </c>
      <c r="M750" s="2">
        <v>1535.28</v>
      </c>
      <c r="N750" t="s">
        <v>35</v>
      </c>
      <c r="O750" t="s">
        <v>25</v>
      </c>
      <c r="P750" t="s">
        <v>26</v>
      </c>
    </row>
    <row r="751" spans="1:16" x14ac:dyDescent="0.3">
      <c r="A751" t="s">
        <v>228</v>
      </c>
      <c r="B751" s="1">
        <v>45719</v>
      </c>
      <c r="C751" t="s">
        <v>229</v>
      </c>
      <c r="D751" t="s">
        <v>18</v>
      </c>
      <c r="E751" t="s">
        <v>19</v>
      </c>
      <c r="F751" t="s">
        <v>20</v>
      </c>
      <c r="G751" t="s">
        <v>42</v>
      </c>
      <c r="H751" t="s">
        <v>53</v>
      </c>
      <c r="I751" t="s">
        <v>120</v>
      </c>
      <c r="J751" s="2">
        <v>21000</v>
      </c>
      <c r="K751">
        <v>5</v>
      </c>
      <c r="L751" s="2">
        <v>0</v>
      </c>
      <c r="M751" s="2">
        <v>2154</v>
      </c>
      <c r="N751" t="s">
        <v>24</v>
      </c>
      <c r="O751" t="s">
        <v>25</v>
      </c>
      <c r="P751" t="s">
        <v>47</v>
      </c>
    </row>
    <row r="752" spans="1:16" x14ac:dyDescent="0.3">
      <c r="A752" t="s">
        <v>879</v>
      </c>
      <c r="B752" s="1">
        <v>46044</v>
      </c>
      <c r="C752" t="s">
        <v>225</v>
      </c>
      <c r="D752" t="s">
        <v>91</v>
      </c>
      <c r="E752" t="s">
        <v>91</v>
      </c>
      <c r="F752" t="s">
        <v>60</v>
      </c>
      <c r="G752" t="s">
        <v>61</v>
      </c>
      <c r="H752" t="s">
        <v>98</v>
      </c>
      <c r="I752" t="s">
        <v>156</v>
      </c>
      <c r="J752" s="2">
        <v>68400</v>
      </c>
      <c r="K752">
        <v>2</v>
      </c>
      <c r="L752" s="2">
        <v>0.1</v>
      </c>
      <c r="M752" s="2">
        <v>12297.2</v>
      </c>
      <c r="N752" t="s">
        <v>35</v>
      </c>
      <c r="O752" t="s">
        <v>86</v>
      </c>
      <c r="P752" t="s">
        <v>26</v>
      </c>
    </row>
    <row r="753" spans="1:16" x14ac:dyDescent="0.3">
      <c r="A753" t="s">
        <v>923</v>
      </c>
      <c r="B753" s="1">
        <v>46073</v>
      </c>
      <c r="C753" t="s">
        <v>287</v>
      </c>
      <c r="D753" t="s">
        <v>39</v>
      </c>
      <c r="E753" t="s">
        <v>40</v>
      </c>
      <c r="F753" t="s">
        <v>41</v>
      </c>
      <c r="G753" t="s">
        <v>32</v>
      </c>
      <c r="H753" t="s">
        <v>84</v>
      </c>
      <c r="I753" t="s">
        <v>85</v>
      </c>
      <c r="J753" s="2">
        <v>62500</v>
      </c>
      <c r="K753">
        <v>5</v>
      </c>
      <c r="L753" s="2">
        <v>0</v>
      </c>
      <c r="M753" s="2">
        <v>7807.28</v>
      </c>
      <c r="N753" t="s">
        <v>35</v>
      </c>
      <c r="O753" t="s">
        <v>105</v>
      </c>
      <c r="P753" t="s">
        <v>26</v>
      </c>
    </row>
    <row r="754" spans="1:16" x14ac:dyDescent="0.3">
      <c r="A754" t="s">
        <v>776</v>
      </c>
      <c r="B754" s="1">
        <v>45983</v>
      </c>
      <c r="C754" t="s">
        <v>192</v>
      </c>
      <c r="D754" t="s">
        <v>91</v>
      </c>
      <c r="E754" t="s">
        <v>91</v>
      </c>
      <c r="F754" t="s">
        <v>60</v>
      </c>
      <c r="G754" t="s">
        <v>61</v>
      </c>
      <c r="H754" t="s">
        <v>128</v>
      </c>
      <c r="I754" t="s">
        <v>195</v>
      </c>
      <c r="J754" s="2">
        <v>156600</v>
      </c>
      <c r="K754">
        <v>3</v>
      </c>
      <c r="L754" s="2">
        <v>0.1</v>
      </c>
      <c r="M754" s="2">
        <v>42466.01</v>
      </c>
      <c r="N754" t="s">
        <v>64</v>
      </c>
      <c r="O754" t="s">
        <v>79</v>
      </c>
      <c r="P754" t="s">
        <v>47</v>
      </c>
    </row>
    <row r="755" spans="1:16" x14ac:dyDescent="0.3">
      <c r="A755" t="s">
        <v>934</v>
      </c>
      <c r="B755" s="1">
        <v>46078</v>
      </c>
      <c r="C755" t="s">
        <v>296</v>
      </c>
      <c r="D755" t="s">
        <v>134</v>
      </c>
      <c r="E755" t="s">
        <v>75</v>
      </c>
      <c r="F755" t="s">
        <v>20</v>
      </c>
      <c r="G755" t="s">
        <v>42</v>
      </c>
      <c r="H755" t="s">
        <v>43</v>
      </c>
      <c r="I755" t="s">
        <v>44</v>
      </c>
      <c r="J755" s="2">
        <v>16150</v>
      </c>
      <c r="K755">
        <v>2</v>
      </c>
      <c r="L755" s="2">
        <v>0.05</v>
      </c>
      <c r="M755" s="2">
        <v>3352.25</v>
      </c>
      <c r="N755" t="s">
        <v>64</v>
      </c>
      <c r="O755" t="s">
        <v>65</v>
      </c>
      <c r="P755" t="s">
        <v>47</v>
      </c>
    </row>
    <row r="756" spans="1:16" x14ac:dyDescent="0.3">
      <c r="A756" t="s">
        <v>866</v>
      </c>
      <c r="B756" s="1">
        <v>46038</v>
      </c>
      <c r="C756" t="s">
        <v>666</v>
      </c>
      <c r="D756" t="s">
        <v>29</v>
      </c>
      <c r="E756" t="s">
        <v>30</v>
      </c>
      <c r="F756" t="s">
        <v>31</v>
      </c>
      <c r="G756" t="s">
        <v>42</v>
      </c>
      <c r="H756" t="s">
        <v>279</v>
      </c>
      <c r="I756" t="s">
        <v>280</v>
      </c>
      <c r="J756" s="2">
        <v>67500</v>
      </c>
      <c r="K756">
        <v>6</v>
      </c>
      <c r="L756" s="2">
        <v>0.1</v>
      </c>
      <c r="M756" s="2">
        <v>6106.81</v>
      </c>
      <c r="N756" t="s">
        <v>64</v>
      </c>
      <c r="O756" t="s">
        <v>79</v>
      </c>
      <c r="P756" t="s">
        <v>47</v>
      </c>
    </row>
    <row r="757" spans="1:16" x14ac:dyDescent="0.3">
      <c r="A757" t="s">
        <v>1190</v>
      </c>
      <c r="B757" s="1">
        <v>46237</v>
      </c>
      <c r="C757" t="s">
        <v>305</v>
      </c>
      <c r="D757" t="s">
        <v>166</v>
      </c>
      <c r="E757" t="s">
        <v>75</v>
      </c>
      <c r="F757" t="s">
        <v>20</v>
      </c>
      <c r="G757" t="s">
        <v>32</v>
      </c>
      <c r="H757" t="s">
        <v>84</v>
      </c>
      <c r="I757" t="s">
        <v>85</v>
      </c>
      <c r="J757" s="2">
        <v>67500</v>
      </c>
      <c r="K757">
        <v>6</v>
      </c>
      <c r="L757" s="2">
        <v>0.1</v>
      </c>
      <c r="M757" s="2">
        <v>8807.8700000000008</v>
      </c>
      <c r="N757" t="s">
        <v>24</v>
      </c>
      <c r="O757" t="s">
        <v>25</v>
      </c>
      <c r="P757" t="s">
        <v>55</v>
      </c>
    </row>
    <row r="758" spans="1:16" x14ac:dyDescent="0.3">
      <c r="A758" t="s">
        <v>562</v>
      </c>
      <c r="B758" s="1">
        <v>45865</v>
      </c>
      <c r="C758" t="s">
        <v>118</v>
      </c>
      <c r="D758" t="s">
        <v>104</v>
      </c>
      <c r="E758" t="s">
        <v>83</v>
      </c>
      <c r="F758" t="s">
        <v>52</v>
      </c>
      <c r="G758" t="s">
        <v>42</v>
      </c>
      <c r="H758" t="s">
        <v>53</v>
      </c>
      <c r="I758" t="s">
        <v>120</v>
      </c>
      <c r="J758" s="2">
        <v>3780</v>
      </c>
      <c r="K758">
        <v>1</v>
      </c>
      <c r="L758" s="2">
        <v>0.1</v>
      </c>
      <c r="M758" s="2">
        <v>638.88</v>
      </c>
      <c r="N758" t="s">
        <v>45</v>
      </c>
      <c r="O758" t="s">
        <v>25</v>
      </c>
      <c r="P758" t="s">
        <v>26</v>
      </c>
    </row>
    <row r="759" spans="1:16" x14ac:dyDescent="0.3">
      <c r="A759" t="s">
        <v>963</v>
      </c>
      <c r="B759" s="1">
        <v>46095</v>
      </c>
      <c r="C759" t="s">
        <v>549</v>
      </c>
      <c r="D759" t="s">
        <v>68</v>
      </c>
      <c r="E759" t="s">
        <v>69</v>
      </c>
      <c r="F759" t="s">
        <v>41</v>
      </c>
      <c r="G759" t="s">
        <v>61</v>
      </c>
      <c r="H759" t="s">
        <v>62</v>
      </c>
      <c r="I759" t="s">
        <v>63</v>
      </c>
      <c r="J759" s="2">
        <v>2295</v>
      </c>
      <c r="K759">
        <v>3</v>
      </c>
      <c r="L759" s="2">
        <v>0.15</v>
      </c>
      <c r="M759" s="2">
        <v>593.74</v>
      </c>
      <c r="N759" t="s">
        <v>35</v>
      </c>
      <c r="O759" t="s">
        <v>36</v>
      </c>
      <c r="P759" t="s">
        <v>47</v>
      </c>
    </row>
    <row r="760" spans="1:16" x14ac:dyDescent="0.3">
      <c r="A760" t="s">
        <v>615</v>
      </c>
      <c r="B760" s="1">
        <v>45888</v>
      </c>
      <c r="C760" t="s">
        <v>377</v>
      </c>
      <c r="D760" t="s">
        <v>104</v>
      </c>
      <c r="E760" t="s">
        <v>83</v>
      </c>
      <c r="F760" t="s">
        <v>52</v>
      </c>
      <c r="G760" t="s">
        <v>32</v>
      </c>
      <c r="H760" t="s">
        <v>33</v>
      </c>
      <c r="I760" t="s">
        <v>34</v>
      </c>
      <c r="J760" s="2">
        <v>10540</v>
      </c>
      <c r="K760">
        <v>2</v>
      </c>
      <c r="L760" s="2">
        <v>0.15</v>
      </c>
      <c r="M760" s="2">
        <v>1278.42</v>
      </c>
      <c r="N760" t="s">
        <v>64</v>
      </c>
      <c r="O760" t="s">
        <v>46</v>
      </c>
      <c r="P760" t="s">
        <v>47</v>
      </c>
    </row>
    <row r="761" spans="1:16" x14ac:dyDescent="0.3">
      <c r="A761" t="s">
        <v>1134</v>
      </c>
      <c r="B761" s="1">
        <v>46198</v>
      </c>
      <c r="C761" t="s">
        <v>462</v>
      </c>
      <c r="D761" t="s">
        <v>50</v>
      </c>
      <c r="E761" t="s">
        <v>51</v>
      </c>
      <c r="F761" t="s">
        <v>52</v>
      </c>
      <c r="G761" t="s">
        <v>32</v>
      </c>
      <c r="H761" t="s">
        <v>84</v>
      </c>
      <c r="I761" t="s">
        <v>85</v>
      </c>
      <c r="J761" s="2">
        <v>10625</v>
      </c>
      <c r="K761">
        <v>1</v>
      </c>
      <c r="L761" s="2">
        <v>0.15</v>
      </c>
      <c r="M761" s="2">
        <v>1768.95</v>
      </c>
      <c r="N761" t="s">
        <v>64</v>
      </c>
      <c r="O761" t="s">
        <v>105</v>
      </c>
      <c r="P761" t="s">
        <v>55</v>
      </c>
    </row>
    <row r="762" spans="1:16" x14ac:dyDescent="0.3">
      <c r="A762" t="s">
        <v>1171</v>
      </c>
      <c r="B762" s="1">
        <v>46219</v>
      </c>
      <c r="C762" t="s">
        <v>760</v>
      </c>
      <c r="D762" t="s">
        <v>91</v>
      </c>
      <c r="E762" t="s">
        <v>91</v>
      </c>
      <c r="F762" t="s">
        <v>60</v>
      </c>
      <c r="G762" t="s">
        <v>61</v>
      </c>
      <c r="H762" t="s">
        <v>62</v>
      </c>
      <c r="I762" t="s">
        <v>63</v>
      </c>
      <c r="J762" s="2">
        <v>3600</v>
      </c>
      <c r="K762">
        <v>4</v>
      </c>
      <c r="L762" s="2">
        <v>0</v>
      </c>
      <c r="M762" s="2">
        <v>785.25</v>
      </c>
      <c r="N762" t="s">
        <v>64</v>
      </c>
      <c r="O762" t="s">
        <v>71</v>
      </c>
      <c r="P762" t="s">
        <v>47</v>
      </c>
    </row>
    <row r="763" spans="1:16" x14ac:dyDescent="0.3">
      <c r="A763" t="s">
        <v>1291</v>
      </c>
      <c r="B763" s="1">
        <v>46311</v>
      </c>
      <c r="C763" t="s">
        <v>393</v>
      </c>
      <c r="D763" t="s">
        <v>39</v>
      </c>
      <c r="E763" t="s">
        <v>40</v>
      </c>
      <c r="F763" t="s">
        <v>41</v>
      </c>
      <c r="G763" t="s">
        <v>42</v>
      </c>
      <c r="H763" t="s">
        <v>279</v>
      </c>
      <c r="I763" t="s">
        <v>280</v>
      </c>
      <c r="J763" s="2">
        <v>56250</v>
      </c>
      <c r="K763">
        <v>5</v>
      </c>
      <c r="L763" s="2">
        <v>0.1</v>
      </c>
      <c r="M763" s="2">
        <v>7328.26</v>
      </c>
      <c r="N763" t="s">
        <v>35</v>
      </c>
      <c r="O763" t="s">
        <v>46</v>
      </c>
      <c r="P763" t="s">
        <v>55</v>
      </c>
    </row>
    <row r="764" spans="1:16" x14ac:dyDescent="0.3">
      <c r="A764" t="s">
        <v>1377</v>
      </c>
      <c r="B764" s="1">
        <v>46378</v>
      </c>
      <c r="C764" t="s">
        <v>223</v>
      </c>
      <c r="D764" t="s">
        <v>82</v>
      </c>
      <c r="E764" t="s">
        <v>83</v>
      </c>
      <c r="F764" t="s">
        <v>52</v>
      </c>
      <c r="G764" t="s">
        <v>76</v>
      </c>
      <c r="H764" t="s">
        <v>77</v>
      </c>
      <c r="I764" t="s">
        <v>171</v>
      </c>
      <c r="J764" s="2">
        <v>1520</v>
      </c>
      <c r="K764">
        <v>1</v>
      </c>
      <c r="L764" s="2">
        <v>0.05</v>
      </c>
      <c r="M764" s="2">
        <v>196.41</v>
      </c>
      <c r="N764" t="s">
        <v>64</v>
      </c>
      <c r="O764" t="s">
        <v>65</v>
      </c>
      <c r="P764" t="s">
        <v>47</v>
      </c>
    </row>
    <row r="765" spans="1:16" x14ac:dyDescent="0.3">
      <c r="A765" t="s">
        <v>998</v>
      </c>
      <c r="B765" s="1">
        <v>46122</v>
      </c>
      <c r="C765" t="s">
        <v>999</v>
      </c>
      <c r="D765" t="s">
        <v>29</v>
      </c>
      <c r="E765" t="s">
        <v>30</v>
      </c>
      <c r="F765" t="s">
        <v>31</v>
      </c>
      <c r="G765" t="s">
        <v>61</v>
      </c>
      <c r="H765" t="s">
        <v>62</v>
      </c>
      <c r="I765" t="s">
        <v>63</v>
      </c>
      <c r="J765" s="2">
        <v>2700</v>
      </c>
      <c r="K765">
        <v>3</v>
      </c>
      <c r="L765" s="2">
        <v>0</v>
      </c>
      <c r="M765" s="2">
        <v>654.65</v>
      </c>
      <c r="N765" t="s">
        <v>114</v>
      </c>
      <c r="O765" t="s">
        <v>36</v>
      </c>
      <c r="P765" t="s">
        <v>55</v>
      </c>
    </row>
    <row r="766" spans="1:16" x14ac:dyDescent="0.3">
      <c r="A766" t="s">
        <v>563</v>
      </c>
      <c r="B766" s="1">
        <v>45865</v>
      </c>
      <c r="C766" t="s">
        <v>564</v>
      </c>
      <c r="D766" t="s">
        <v>173</v>
      </c>
      <c r="E766" t="s">
        <v>174</v>
      </c>
      <c r="F766" t="s">
        <v>60</v>
      </c>
      <c r="G766" t="s">
        <v>61</v>
      </c>
      <c r="H766" t="s">
        <v>62</v>
      </c>
      <c r="I766" t="s">
        <v>63</v>
      </c>
      <c r="J766" s="2">
        <v>4050</v>
      </c>
      <c r="K766">
        <v>5</v>
      </c>
      <c r="L766" s="2">
        <v>0.1</v>
      </c>
      <c r="M766" s="2">
        <v>582.1</v>
      </c>
      <c r="N766" t="s">
        <v>114</v>
      </c>
      <c r="O766" t="s">
        <v>86</v>
      </c>
      <c r="P766" t="s">
        <v>55</v>
      </c>
    </row>
    <row r="767" spans="1:16" x14ac:dyDescent="0.3">
      <c r="A767" t="s">
        <v>1047</v>
      </c>
      <c r="B767" s="1">
        <v>46145</v>
      </c>
      <c r="C767" t="s">
        <v>435</v>
      </c>
      <c r="D767" t="s">
        <v>166</v>
      </c>
      <c r="E767" t="s">
        <v>75</v>
      </c>
      <c r="F767" t="s">
        <v>20</v>
      </c>
      <c r="G767" t="s">
        <v>21</v>
      </c>
      <c r="H767" t="s">
        <v>22</v>
      </c>
      <c r="I767" t="s">
        <v>111</v>
      </c>
      <c r="J767" s="2">
        <v>540</v>
      </c>
      <c r="K767">
        <v>2</v>
      </c>
      <c r="L767" s="2">
        <v>0.1</v>
      </c>
      <c r="M767" s="2">
        <v>144.29</v>
      </c>
      <c r="N767" t="s">
        <v>24</v>
      </c>
      <c r="O767" t="s">
        <v>135</v>
      </c>
      <c r="P767" t="s">
        <v>55</v>
      </c>
    </row>
    <row r="768" spans="1:16" x14ac:dyDescent="0.3">
      <c r="A768" t="s">
        <v>975</v>
      </c>
      <c r="B768" s="1">
        <v>46106</v>
      </c>
      <c r="C768" t="s">
        <v>976</v>
      </c>
      <c r="D768" t="s">
        <v>18</v>
      </c>
      <c r="E768" t="s">
        <v>19</v>
      </c>
      <c r="F768" t="s">
        <v>20</v>
      </c>
      <c r="G768" t="s">
        <v>42</v>
      </c>
      <c r="H768" t="s">
        <v>53</v>
      </c>
      <c r="I768" t="s">
        <v>54</v>
      </c>
      <c r="J768" s="2">
        <v>3240</v>
      </c>
      <c r="K768">
        <v>2</v>
      </c>
      <c r="L768" s="2">
        <v>0.1</v>
      </c>
      <c r="M768" s="2">
        <v>435.06</v>
      </c>
      <c r="N768" t="s">
        <v>64</v>
      </c>
      <c r="O768" t="s">
        <v>135</v>
      </c>
      <c r="P768" t="s">
        <v>55</v>
      </c>
    </row>
    <row r="769" spans="1:16" x14ac:dyDescent="0.3">
      <c r="A769" t="s">
        <v>1033</v>
      </c>
      <c r="B769" s="1">
        <v>46138</v>
      </c>
      <c r="C769" t="s">
        <v>702</v>
      </c>
      <c r="D769" t="s">
        <v>134</v>
      </c>
      <c r="E769" t="s">
        <v>75</v>
      </c>
      <c r="F769" t="s">
        <v>20</v>
      </c>
      <c r="G769" t="s">
        <v>21</v>
      </c>
      <c r="H769" t="s">
        <v>22</v>
      </c>
      <c r="I769" t="s">
        <v>23</v>
      </c>
      <c r="J769" s="2">
        <v>405</v>
      </c>
      <c r="K769">
        <v>1</v>
      </c>
      <c r="L769" s="2">
        <v>0.1</v>
      </c>
      <c r="M769" s="2">
        <v>95.17</v>
      </c>
      <c r="N769" t="s">
        <v>64</v>
      </c>
      <c r="O769" t="s">
        <v>105</v>
      </c>
      <c r="P769" t="s">
        <v>26</v>
      </c>
    </row>
    <row r="770" spans="1:16" x14ac:dyDescent="0.3">
      <c r="A770" t="s">
        <v>1025</v>
      </c>
      <c r="B770" s="1">
        <v>46135</v>
      </c>
      <c r="C770" t="s">
        <v>263</v>
      </c>
      <c r="D770" t="s">
        <v>173</v>
      </c>
      <c r="E770" t="s">
        <v>174</v>
      </c>
      <c r="F770" t="s">
        <v>60</v>
      </c>
      <c r="G770" t="s">
        <v>21</v>
      </c>
      <c r="H770" t="s">
        <v>22</v>
      </c>
      <c r="I770" t="s">
        <v>111</v>
      </c>
      <c r="J770" s="2">
        <v>1020</v>
      </c>
      <c r="K770">
        <v>4</v>
      </c>
      <c r="L770" s="2">
        <v>0.15</v>
      </c>
      <c r="M770" s="2">
        <v>143.25</v>
      </c>
      <c r="N770" t="s">
        <v>64</v>
      </c>
      <c r="O770" t="s">
        <v>105</v>
      </c>
      <c r="P770" t="s">
        <v>26</v>
      </c>
    </row>
    <row r="771" spans="1:16" x14ac:dyDescent="0.3">
      <c r="A771" t="s">
        <v>246</v>
      </c>
      <c r="B771" s="1">
        <v>45727</v>
      </c>
      <c r="C771" t="s">
        <v>247</v>
      </c>
      <c r="D771" t="s">
        <v>173</v>
      </c>
      <c r="E771" t="s">
        <v>174</v>
      </c>
      <c r="F771" t="s">
        <v>60</v>
      </c>
      <c r="G771" t="s">
        <v>32</v>
      </c>
      <c r="H771" t="s">
        <v>92</v>
      </c>
      <c r="I771" t="s">
        <v>93</v>
      </c>
      <c r="J771" s="2">
        <v>62100</v>
      </c>
      <c r="K771">
        <v>6</v>
      </c>
      <c r="L771" s="2">
        <v>0.1</v>
      </c>
      <c r="M771" s="2">
        <v>5255.16</v>
      </c>
      <c r="N771" t="s">
        <v>114</v>
      </c>
      <c r="O771" t="s">
        <v>135</v>
      </c>
      <c r="P771" t="s">
        <v>47</v>
      </c>
    </row>
    <row r="772" spans="1:16" x14ac:dyDescent="0.3">
      <c r="A772" t="s">
        <v>1353</v>
      </c>
      <c r="B772" s="1">
        <v>46352</v>
      </c>
      <c r="C772" t="s">
        <v>412</v>
      </c>
      <c r="D772" t="s">
        <v>68</v>
      </c>
      <c r="E772" t="s">
        <v>69</v>
      </c>
      <c r="F772" t="s">
        <v>41</v>
      </c>
      <c r="G772" t="s">
        <v>76</v>
      </c>
      <c r="H772" t="s">
        <v>122</v>
      </c>
      <c r="I772" t="s">
        <v>123</v>
      </c>
      <c r="J772" s="2">
        <v>11880</v>
      </c>
      <c r="K772">
        <v>6</v>
      </c>
      <c r="L772" s="2">
        <v>0.1</v>
      </c>
      <c r="M772" s="2">
        <v>3090.22</v>
      </c>
      <c r="N772" t="s">
        <v>45</v>
      </c>
      <c r="O772" t="s">
        <v>86</v>
      </c>
      <c r="P772" t="s">
        <v>47</v>
      </c>
    </row>
    <row r="773" spans="1:16" x14ac:dyDescent="0.3">
      <c r="A773" t="s">
        <v>1222</v>
      </c>
      <c r="B773" s="1">
        <v>46259</v>
      </c>
      <c r="C773" t="s">
        <v>622</v>
      </c>
      <c r="D773" t="s">
        <v>134</v>
      </c>
      <c r="E773" t="s">
        <v>75</v>
      </c>
      <c r="F773" t="s">
        <v>20</v>
      </c>
      <c r="G773" t="s">
        <v>76</v>
      </c>
      <c r="H773" t="s">
        <v>77</v>
      </c>
      <c r="I773" t="s">
        <v>171</v>
      </c>
      <c r="J773" s="2">
        <v>3040</v>
      </c>
      <c r="K773">
        <v>2</v>
      </c>
      <c r="L773" s="2">
        <v>0.05</v>
      </c>
      <c r="M773" s="2">
        <v>758.79</v>
      </c>
      <c r="N773" t="s">
        <v>24</v>
      </c>
      <c r="O773" t="s">
        <v>105</v>
      </c>
      <c r="P773" t="s">
        <v>47</v>
      </c>
    </row>
    <row r="774" spans="1:16" x14ac:dyDescent="0.3">
      <c r="A774" t="s">
        <v>1189</v>
      </c>
      <c r="B774" s="1">
        <v>46235</v>
      </c>
      <c r="C774" t="s">
        <v>387</v>
      </c>
      <c r="D774" t="s">
        <v>96</v>
      </c>
      <c r="E774" t="s">
        <v>97</v>
      </c>
      <c r="F774" t="s">
        <v>20</v>
      </c>
      <c r="G774" t="s">
        <v>32</v>
      </c>
      <c r="H774" t="s">
        <v>84</v>
      </c>
      <c r="I774" t="s">
        <v>85</v>
      </c>
      <c r="J774" s="2">
        <v>22500</v>
      </c>
      <c r="K774">
        <v>2</v>
      </c>
      <c r="L774" s="2">
        <v>0.1</v>
      </c>
      <c r="M774" s="2">
        <v>2291.36</v>
      </c>
      <c r="N774" t="s">
        <v>24</v>
      </c>
      <c r="O774" t="s">
        <v>36</v>
      </c>
      <c r="P774" t="s">
        <v>26</v>
      </c>
    </row>
    <row r="775" spans="1:16" x14ac:dyDescent="0.3">
      <c r="A775" t="s">
        <v>970</v>
      </c>
      <c r="B775" s="1">
        <v>46102</v>
      </c>
      <c r="C775" t="s">
        <v>398</v>
      </c>
      <c r="D775" t="s">
        <v>134</v>
      </c>
      <c r="E775" t="s">
        <v>75</v>
      </c>
      <c r="F775" t="s">
        <v>20</v>
      </c>
      <c r="G775" t="s">
        <v>61</v>
      </c>
      <c r="H775" t="s">
        <v>98</v>
      </c>
      <c r="I775" t="s">
        <v>99</v>
      </c>
      <c r="J775" s="2">
        <v>171000</v>
      </c>
      <c r="K775">
        <v>6</v>
      </c>
      <c r="L775" s="2">
        <v>0.05</v>
      </c>
      <c r="M775" s="2">
        <v>38622.89</v>
      </c>
      <c r="N775" t="s">
        <v>35</v>
      </c>
      <c r="O775" t="s">
        <v>65</v>
      </c>
      <c r="P775" t="s">
        <v>55</v>
      </c>
    </row>
    <row r="776" spans="1:16" x14ac:dyDescent="0.3">
      <c r="A776" t="s">
        <v>1174</v>
      </c>
      <c r="B776" s="1">
        <v>46224</v>
      </c>
      <c r="C776" t="s">
        <v>516</v>
      </c>
      <c r="D776" t="s">
        <v>29</v>
      </c>
      <c r="E776" t="s">
        <v>30</v>
      </c>
      <c r="F776" t="s">
        <v>31</v>
      </c>
      <c r="G776" t="s">
        <v>61</v>
      </c>
      <c r="H776" t="s">
        <v>98</v>
      </c>
      <c r="I776" t="s">
        <v>156</v>
      </c>
      <c r="J776" s="2">
        <v>129200</v>
      </c>
      <c r="K776">
        <v>4</v>
      </c>
      <c r="L776" s="2">
        <v>0.15</v>
      </c>
      <c r="M776" s="2">
        <v>33733.9</v>
      </c>
      <c r="N776" t="s">
        <v>114</v>
      </c>
      <c r="O776" t="s">
        <v>46</v>
      </c>
      <c r="P776" t="s">
        <v>47</v>
      </c>
    </row>
    <row r="777" spans="1:16" x14ac:dyDescent="0.3">
      <c r="A777" t="s">
        <v>1004</v>
      </c>
      <c r="B777" s="1">
        <v>46124</v>
      </c>
      <c r="C777" t="s">
        <v>588</v>
      </c>
      <c r="D777" t="s">
        <v>82</v>
      </c>
      <c r="E777" t="s">
        <v>83</v>
      </c>
      <c r="F777" t="s">
        <v>52</v>
      </c>
      <c r="G777" t="s">
        <v>42</v>
      </c>
      <c r="H777" t="s">
        <v>53</v>
      </c>
      <c r="I777" t="s">
        <v>120</v>
      </c>
      <c r="J777" s="2">
        <v>19950</v>
      </c>
      <c r="K777">
        <v>5</v>
      </c>
      <c r="L777" s="2">
        <v>0.05</v>
      </c>
      <c r="M777" s="2">
        <v>2877.08</v>
      </c>
      <c r="N777" t="s">
        <v>45</v>
      </c>
      <c r="O777" t="s">
        <v>108</v>
      </c>
      <c r="P777" t="s">
        <v>47</v>
      </c>
    </row>
    <row r="778" spans="1:16" x14ac:dyDescent="0.3">
      <c r="A778" t="s">
        <v>568</v>
      </c>
      <c r="B778" s="1">
        <v>45868</v>
      </c>
      <c r="C778" t="s">
        <v>28</v>
      </c>
      <c r="D778" t="s">
        <v>82</v>
      </c>
      <c r="E778" t="s">
        <v>83</v>
      </c>
      <c r="F778" t="s">
        <v>52</v>
      </c>
      <c r="G778" t="s">
        <v>61</v>
      </c>
      <c r="H778" t="s">
        <v>128</v>
      </c>
      <c r="I778" t="s">
        <v>129</v>
      </c>
      <c r="J778" s="2">
        <v>208000</v>
      </c>
      <c r="K778">
        <v>4</v>
      </c>
      <c r="L778" s="2">
        <v>0</v>
      </c>
      <c r="M778" s="2">
        <v>55941.599999999999</v>
      </c>
      <c r="N778" t="s">
        <v>114</v>
      </c>
      <c r="O778" t="s">
        <v>105</v>
      </c>
      <c r="P778" t="s">
        <v>26</v>
      </c>
    </row>
    <row r="779" spans="1:16" x14ac:dyDescent="0.3">
      <c r="A779" t="s">
        <v>252</v>
      </c>
      <c r="B779" s="1">
        <v>45727</v>
      </c>
      <c r="C779" t="s">
        <v>253</v>
      </c>
      <c r="D779" t="s">
        <v>50</v>
      </c>
      <c r="E779" t="s">
        <v>51</v>
      </c>
      <c r="F779" t="s">
        <v>52</v>
      </c>
      <c r="G779" t="s">
        <v>21</v>
      </c>
      <c r="H779" t="s">
        <v>175</v>
      </c>
      <c r="I779" t="s">
        <v>176</v>
      </c>
      <c r="J779" s="2">
        <v>617.5</v>
      </c>
      <c r="K779">
        <v>1</v>
      </c>
      <c r="L779" s="2">
        <v>0.05</v>
      </c>
      <c r="M779" s="2">
        <v>126.17</v>
      </c>
      <c r="N779" t="s">
        <v>64</v>
      </c>
      <c r="O779" t="s">
        <v>46</v>
      </c>
      <c r="P779" t="s">
        <v>47</v>
      </c>
    </row>
    <row r="780" spans="1:16" x14ac:dyDescent="0.3">
      <c r="A780" t="s">
        <v>1321</v>
      </c>
      <c r="B780" s="1">
        <v>46328</v>
      </c>
      <c r="C780" t="s">
        <v>73</v>
      </c>
      <c r="D780" t="s">
        <v>119</v>
      </c>
      <c r="E780" t="s">
        <v>75</v>
      </c>
      <c r="F780" t="s">
        <v>20</v>
      </c>
      <c r="G780" t="s">
        <v>61</v>
      </c>
      <c r="H780" t="s">
        <v>62</v>
      </c>
      <c r="I780" t="s">
        <v>63</v>
      </c>
      <c r="J780" s="2">
        <v>810</v>
      </c>
      <c r="K780">
        <v>1</v>
      </c>
      <c r="L780" s="2">
        <v>0.1</v>
      </c>
      <c r="M780" s="2">
        <v>109.24</v>
      </c>
      <c r="N780" t="s">
        <v>45</v>
      </c>
      <c r="O780" t="s">
        <v>135</v>
      </c>
      <c r="P780" t="s">
        <v>47</v>
      </c>
    </row>
    <row r="781" spans="1:16" x14ac:dyDescent="0.3">
      <c r="A781" t="s">
        <v>224</v>
      </c>
      <c r="B781" s="1">
        <v>45716</v>
      </c>
      <c r="C781" t="s">
        <v>225</v>
      </c>
      <c r="D781" t="s">
        <v>91</v>
      </c>
      <c r="E781" t="s">
        <v>91</v>
      </c>
      <c r="F781" t="s">
        <v>60</v>
      </c>
      <c r="G781" t="s">
        <v>32</v>
      </c>
      <c r="H781" t="s">
        <v>33</v>
      </c>
      <c r="I781" t="s">
        <v>34</v>
      </c>
      <c r="J781" s="2">
        <v>22320</v>
      </c>
      <c r="K781">
        <v>4</v>
      </c>
      <c r="L781" s="2">
        <v>0.1</v>
      </c>
      <c r="M781" s="2">
        <v>3644.31</v>
      </c>
      <c r="N781" t="s">
        <v>114</v>
      </c>
      <c r="O781" t="s">
        <v>71</v>
      </c>
      <c r="P781" t="s">
        <v>26</v>
      </c>
    </row>
    <row r="782" spans="1:16" x14ac:dyDescent="0.3">
      <c r="A782" t="s">
        <v>759</v>
      </c>
      <c r="B782" s="1">
        <v>45974</v>
      </c>
      <c r="C782" t="s">
        <v>760</v>
      </c>
      <c r="D782" t="s">
        <v>166</v>
      </c>
      <c r="E782" t="s">
        <v>75</v>
      </c>
      <c r="F782" t="s">
        <v>20</v>
      </c>
      <c r="G782" t="s">
        <v>32</v>
      </c>
      <c r="H782" t="s">
        <v>92</v>
      </c>
      <c r="I782" t="s">
        <v>93</v>
      </c>
      <c r="J782" s="2">
        <v>62100</v>
      </c>
      <c r="K782">
        <v>6</v>
      </c>
      <c r="L782" s="2">
        <v>0.1</v>
      </c>
      <c r="M782" s="2">
        <v>14711.8</v>
      </c>
      <c r="N782" t="s">
        <v>24</v>
      </c>
      <c r="O782" t="s">
        <v>36</v>
      </c>
      <c r="P782" t="s">
        <v>47</v>
      </c>
    </row>
    <row r="783" spans="1:16" x14ac:dyDescent="0.3">
      <c r="A783" t="s">
        <v>1183</v>
      </c>
      <c r="B783" s="1">
        <v>46231</v>
      </c>
      <c r="C783" t="s">
        <v>227</v>
      </c>
      <c r="D783" t="s">
        <v>96</v>
      </c>
      <c r="E783" t="s">
        <v>97</v>
      </c>
      <c r="F783" t="s">
        <v>20</v>
      </c>
      <c r="G783" t="s">
        <v>61</v>
      </c>
      <c r="H783" t="s">
        <v>62</v>
      </c>
      <c r="I783" t="s">
        <v>70</v>
      </c>
      <c r="J783" s="2">
        <v>9000</v>
      </c>
      <c r="K783">
        <v>5</v>
      </c>
      <c r="L783" s="2">
        <v>0</v>
      </c>
      <c r="M783" s="2">
        <v>1540.19</v>
      </c>
      <c r="N783" t="s">
        <v>64</v>
      </c>
      <c r="O783" t="s">
        <v>135</v>
      </c>
      <c r="P783" t="s">
        <v>47</v>
      </c>
    </row>
    <row r="784" spans="1:16" x14ac:dyDescent="0.3">
      <c r="A784" t="s">
        <v>888</v>
      </c>
      <c r="B784" s="1">
        <v>46048</v>
      </c>
      <c r="C784" t="s">
        <v>889</v>
      </c>
      <c r="D784" t="s">
        <v>39</v>
      </c>
      <c r="E784" t="s">
        <v>40</v>
      </c>
      <c r="F784" t="s">
        <v>41</v>
      </c>
      <c r="G784" t="s">
        <v>61</v>
      </c>
      <c r="H784" t="s">
        <v>128</v>
      </c>
      <c r="I784" t="s">
        <v>195</v>
      </c>
      <c r="J784" s="2">
        <v>261000</v>
      </c>
      <c r="K784">
        <v>5</v>
      </c>
      <c r="L784" s="2">
        <v>0.1</v>
      </c>
      <c r="M784" s="2">
        <v>61724.51</v>
      </c>
      <c r="N784" t="s">
        <v>64</v>
      </c>
      <c r="O784" t="s">
        <v>108</v>
      </c>
      <c r="P784" t="s">
        <v>26</v>
      </c>
    </row>
    <row r="785" spans="1:16" x14ac:dyDescent="0.3">
      <c r="A785" t="s">
        <v>617</v>
      </c>
      <c r="B785" s="1">
        <v>45889</v>
      </c>
      <c r="C785" t="s">
        <v>618</v>
      </c>
      <c r="D785" t="s">
        <v>152</v>
      </c>
      <c r="E785" t="s">
        <v>153</v>
      </c>
      <c r="F785" t="s">
        <v>20</v>
      </c>
      <c r="G785" t="s">
        <v>42</v>
      </c>
      <c r="H785" t="s">
        <v>279</v>
      </c>
      <c r="I785" t="s">
        <v>280</v>
      </c>
      <c r="J785" s="2">
        <v>33750</v>
      </c>
      <c r="K785">
        <v>3</v>
      </c>
      <c r="L785" s="2">
        <v>0.1</v>
      </c>
      <c r="M785" s="2">
        <v>5235.25</v>
      </c>
      <c r="N785" t="s">
        <v>45</v>
      </c>
      <c r="O785" t="s">
        <v>46</v>
      </c>
      <c r="P785" t="s">
        <v>47</v>
      </c>
    </row>
    <row r="786" spans="1:16" x14ac:dyDescent="0.3">
      <c r="A786" t="s">
        <v>460</v>
      </c>
      <c r="B786" s="1">
        <v>45803</v>
      </c>
      <c r="C786" t="s">
        <v>314</v>
      </c>
      <c r="D786" t="s">
        <v>96</v>
      </c>
      <c r="E786" t="s">
        <v>97</v>
      </c>
      <c r="F786" t="s">
        <v>20</v>
      </c>
      <c r="G786" t="s">
        <v>61</v>
      </c>
      <c r="H786" t="s">
        <v>62</v>
      </c>
      <c r="I786" t="s">
        <v>63</v>
      </c>
      <c r="J786" s="2">
        <v>3420</v>
      </c>
      <c r="K786">
        <v>4</v>
      </c>
      <c r="L786" s="2">
        <v>0.05</v>
      </c>
      <c r="M786" s="2">
        <v>518.17999999999995</v>
      </c>
      <c r="N786" t="s">
        <v>64</v>
      </c>
      <c r="O786" t="s">
        <v>46</v>
      </c>
      <c r="P786" t="s">
        <v>47</v>
      </c>
    </row>
    <row r="787" spans="1:16" x14ac:dyDescent="0.3">
      <c r="A787" t="s">
        <v>594</v>
      </c>
      <c r="B787" s="1">
        <v>45878</v>
      </c>
      <c r="C787" t="s">
        <v>431</v>
      </c>
      <c r="D787" t="s">
        <v>18</v>
      </c>
      <c r="E787" t="s">
        <v>19</v>
      </c>
      <c r="F787" t="s">
        <v>20</v>
      </c>
      <c r="G787" t="s">
        <v>42</v>
      </c>
      <c r="H787" t="s">
        <v>43</v>
      </c>
      <c r="I787" t="s">
        <v>44</v>
      </c>
      <c r="J787" s="2">
        <v>8075</v>
      </c>
      <c r="K787">
        <v>1</v>
      </c>
      <c r="L787" s="2">
        <v>0.05</v>
      </c>
      <c r="M787" s="2">
        <v>1577.17</v>
      </c>
      <c r="N787" t="s">
        <v>24</v>
      </c>
      <c r="O787" t="s">
        <v>36</v>
      </c>
      <c r="P787" t="s">
        <v>47</v>
      </c>
    </row>
    <row r="788" spans="1:16" x14ac:dyDescent="0.3">
      <c r="A788" t="s">
        <v>899</v>
      </c>
      <c r="B788" s="1">
        <v>46057</v>
      </c>
      <c r="C788" t="s">
        <v>900</v>
      </c>
      <c r="D788" t="s">
        <v>82</v>
      </c>
      <c r="E788" t="s">
        <v>83</v>
      </c>
      <c r="F788" t="s">
        <v>52</v>
      </c>
      <c r="G788" t="s">
        <v>42</v>
      </c>
      <c r="H788" t="s">
        <v>53</v>
      </c>
      <c r="I788" t="s">
        <v>54</v>
      </c>
      <c r="J788" s="2">
        <v>1620</v>
      </c>
      <c r="K788">
        <v>1</v>
      </c>
      <c r="L788" s="2">
        <v>0.1</v>
      </c>
      <c r="M788" s="2">
        <v>296.29000000000002</v>
      </c>
      <c r="N788" t="s">
        <v>35</v>
      </c>
      <c r="O788" t="s">
        <v>105</v>
      </c>
      <c r="P788" t="s">
        <v>47</v>
      </c>
    </row>
    <row r="789" spans="1:16" x14ac:dyDescent="0.3">
      <c r="A789" t="s">
        <v>867</v>
      </c>
      <c r="B789" s="1">
        <v>46038</v>
      </c>
      <c r="C789" t="s">
        <v>95</v>
      </c>
      <c r="D789" t="s">
        <v>29</v>
      </c>
      <c r="E789" t="s">
        <v>30</v>
      </c>
      <c r="F789" t="s">
        <v>31</v>
      </c>
      <c r="G789" t="s">
        <v>42</v>
      </c>
      <c r="H789" t="s">
        <v>43</v>
      </c>
      <c r="I789" t="s">
        <v>44</v>
      </c>
      <c r="J789" s="2">
        <v>24225</v>
      </c>
      <c r="K789">
        <v>3</v>
      </c>
      <c r="L789" s="2">
        <v>0.05</v>
      </c>
      <c r="M789" s="2">
        <v>4151.6499999999996</v>
      </c>
      <c r="N789" t="s">
        <v>24</v>
      </c>
      <c r="O789" t="s">
        <v>105</v>
      </c>
      <c r="P789" t="s">
        <v>55</v>
      </c>
    </row>
    <row r="790" spans="1:16" x14ac:dyDescent="0.3">
      <c r="A790" t="s">
        <v>919</v>
      </c>
      <c r="B790" s="1">
        <v>46066</v>
      </c>
      <c r="C790" t="s">
        <v>900</v>
      </c>
      <c r="D790" t="s">
        <v>58</v>
      </c>
      <c r="E790" t="s">
        <v>59</v>
      </c>
      <c r="F790" t="s">
        <v>60</v>
      </c>
      <c r="G790" t="s">
        <v>32</v>
      </c>
      <c r="H790" t="s">
        <v>33</v>
      </c>
      <c r="I790" t="s">
        <v>34</v>
      </c>
      <c r="J790" s="2">
        <v>27900</v>
      </c>
      <c r="K790">
        <v>5</v>
      </c>
      <c r="L790" s="2">
        <v>0.1</v>
      </c>
      <c r="M790" s="2">
        <v>2255.34</v>
      </c>
      <c r="N790" t="s">
        <v>45</v>
      </c>
      <c r="O790" t="s">
        <v>135</v>
      </c>
      <c r="P790" t="s">
        <v>55</v>
      </c>
    </row>
    <row r="791" spans="1:16" x14ac:dyDescent="0.3">
      <c r="A791" t="s">
        <v>1034</v>
      </c>
      <c r="B791" s="1">
        <v>46138</v>
      </c>
      <c r="C791" t="s">
        <v>419</v>
      </c>
      <c r="D791" t="s">
        <v>119</v>
      </c>
      <c r="E791" t="s">
        <v>75</v>
      </c>
      <c r="F791" t="s">
        <v>20</v>
      </c>
      <c r="G791" t="s">
        <v>42</v>
      </c>
      <c r="H791" t="s">
        <v>53</v>
      </c>
      <c r="I791" t="s">
        <v>120</v>
      </c>
      <c r="J791" s="2">
        <v>3780</v>
      </c>
      <c r="K791">
        <v>1</v>
      </c>
      <c r="L791" s="2">
        <v>0.1</v>
      </c>
      <c r="M791" s="2">
        <v>370.88</v>
      </c>
      <c r="N791" t="s">
        <v>24</v>
      </c>
      <c r="O791" t="s">
        <v>46</v>
      </c>
      <c r="P791" t="s">
        <v>55</v>
      </c>
    </row>
    <row r="792" spans="1:16" x14ac:dyDescent="0.3">
      <c r="A792" t="s">
        <v>451</v>
      </c>
      <c r="B792" s="1">
        <v>45799</v>
      </c>
      <c r="C792" t="s">
        <v>361</v>
      </c>
      <c r="D792" t="s">
        <v>119</v>
      </c>
      <c r="E792" t="s">
        <v>75</v>
      </c>
      <c r="F792" t="s">
        <v>20</v>
      </c>
      <c r="G792" t="s">
        <v>61</v>
      </c>
      <c r="H792" t="s">
        <v>128</v>
      </c>
      <c r="I792" t="s">
        <v>129</v>
      </c>
      <c r="J792" s="2">
        <v>88400</v>
      </c>
      <c r="K792">
        <v>2</v>
      </c>
      <c r="L792" s="2">
        <v>0.15</v>
      </c>
      <c r="M792" s="2">
        <v>19843.330000000002</v>
      </c>
      <c r="N792" t="s">
        <v>114</v>
      </c>
      <c r="O792" t="s">
        <v>86</v>
      </c>
      <c r="P792" t="s">
        <v>55</v>
      </c>
    </row>
    <row r="793" spans="1:16" x14ac:dyDescent="0.3">
      <c r="A793" t="s">
        <v>468</v>
      </c>
      <c r="B793" s="1">
        <v>45808</v>
      </c>
      <c r="C793" t="s">
        <v>469</v>
      </c>
      <c r="D793" t="s">
        <v>82</v>
      </c>
      <c r="E793" t="s">
        <v>83</v>
      </c>
      <c r="F793" t="s">
        <v>52</v>
      </c>
      <c r="G793" t="s">
        <v>32</v>
      </c>
      <c r="H793" t="s">
        <v>33</v>
      </c>
      <c r="I793" t="s">
        <v>34</v>
      </c>
      <c r="J793" s="2">
        <v>27900</v>
      </c>
      <c r="K793">
        <v>5</v>
      </c>
      <c r="L793" s="2">
        <v>0.1</v>
      </c>
      <c r="M793" s="2">
        <v>3964.99</v>
      </c>
      <c r="N793" t="s">
        <v>64</v>
      </c>
      <c r="O793" t="s">
        <v>36</v>
      </c>
      <c r="P793" t="s">
        <v>26</v>
      </c>
    </row>
    <row r="794" spans="1:16" x14ac:dyDescent="0.3">
      <c r="A794" t="s">
        <v>1318</v>
      </c>
      <c r="B794" s="1">
        <v>46326</v>
      </c>
      <c r="C794" t="s">
        <v>790</v>
      </c>
      <c r="D794" t="s">
        <v>119</v>
      </c>
      <c r="E794" t="s">
        <v>75</v>
      </c>
      <c r="F794" t="s">
        <v>20</v>
      </c>
      <c r="G794" t="s">
        <v>32</v>
      </c>
      <c r="H794" t="s">
        <v>84</v>
      </c>
      <c r="I794" t="s">
        <v>85</v>
      </c>
      <c r="J794" s="2">
        <v>56250</v>
      </c>
      <c r="K794">
        <v>5</v>
      </c>
      <c r="L794" s="2">
        <v>0.1</v>
      </c>
      <c r="M794" s="2">
        <v>11894.34</v>
      </c>
      <c r="N794" t="s">
        <v>45</v>
      </c>
      <c r="O794" t="s">
        <v>46</v>
      </c>
      <c r="P794" t="s">
        <v>47</v>
      </c>
    </row>
    <row r="795" spans="1:16" x14ac:dyDescent="0.3">
      <c r="A795" t="s">
        <v>1026</v>
      </c>
      <c r="B795" s="1">
        <v>46135</v>
      </c>
      <c r="C795" t="s">
        <v>1027</v>
      </c>
      <c r="D795" t="s">
        <v>96</v>
      </c>
      <c r="E795" t="s">
        <v>97</v>
      </c>
      <c r="F795" t="s">
        <v>20</v>
      </c>
      <c r="G795" t="s">
        <v>42</v>
      </c>
      <c r="H795" t="s">
        <v>53</v>
      </c>
      <c r="I795" t="s">
        <v>54</v>
      </c>
      <c r="J795" s="2">
        <v>4590</v>
      </c>
      <c r="K795">
        <v>3</v>
      </c>
      <c r="L795" s="2">
        <v>0.15</v>
      </c>
      <c r="M795" s="2">
        <v>1111.03</v>
      </c>
      <c r="N795" t="s">
        <v>24</v>
      </c>
      <c r="O795" t="s">
        <v>86</v>
      </c>
      <c r="P795" t="s">
        <v>55</v>
      </c>
    </row>
    <row r="796" spans="1:16" x14ac:dyDescent="0.3">
      <c r="A796" t="s">
        <v>570</v>
      </c>
      <c r="B796" s="1">
        <v>45868</v>
      </c>
      <c r="C796" t="s">
        <v>571</v>
      </c>
      <c r="D796" t="s">
        <v>134</v>
      </c>
      <c r="E796" t="s">
        <v>75</v>
      </c>
      <c r="F796" t="s">
        <v>20</v>
      </c>
      <c r="G796" t="s">
        <v>76</v>
      </c>
      <c r="H796" t="s">
        <v>122</v>
      </c>
      <c r="I796" t="s">
        <v>123</v>
      </c>
      <c r="J796" s="2">
        <v>11000</v>
      </c>
      <c r="K796">
        <v>5</v>
      </c>
      <c r="L796" s="2">
        <v>0</v>
      </c>
      <c r="M796" s="2">
        <v>2394.33</v>
      </c>
      <c r="N796" t="s">
        <v>45</v>
      </c>
      <c r="O796" t="s">
        <v>105</v>
      </c>
      <c r="P796" t="s">
        <v>47</v>
      </c>
    </row>
    <row r="797" spans="1:16" x14ac:dyDescent="0.3">
      <c r="A797" t="s">
        <v>1203</v>
      </c>
      <c r="B797" s="1">
        <v>46246</v>
      </c>
      <c r="C797" t="s">
        <v>557</v>
      </c>
      <c r="D797" t="s">
        <v>74</v>
      </c>
      <c r="E797" t="s">
        <v>75</v>
      </c>
      <c r="F797" t="s">
        <v>20</v>
      </c>
      <c r="G797" t="s">
        <v>76</v>
      </c>
      <c r="H797" t="s">
        <v>77</v>
      </c>
      <c r="I797" t="s">
        <v>78</v>
      </c>
      <c r="J797" s="2">
        <v>11400</v>
      </c>
      <c r="K797">
        <v>5</v>
      </c>
      <c r="L797" s="2">
        <v>0.05</v>
      </c>
      <c r="M797" s="2">
        <v>1819.1</v>
      </c>
      <c r="N797" t="s">
        <v>114</v>
      </c>
      <c r="O797" t="s">
        <v>135</v>
      </c>
      <c r="P797" t="s">
        <v>55</v>
      </c>
    </row>
    <row r="798" spans="1:16" x14ac:dyDescent="0.3">
      <c r="A798" t="s">
        <v>670</v>
      </c>
      <c r="B798" s="1">
        <v>45921</v>
      </c>
      <c r="C798" t="s">
        <v>671</v>
      </c>
      <c r="D798" t="s">
        <v>50</v>
      </c>
      <c r="E798" t="s">
        <v>51</v>
      </c>
      <c r="F798" t="s">
        <v>52</v>
      </c>
      <c r="G798" t="s">
        <v>61</v>
      </c>
      <c r="H798" t="s">
        <v>98</v>
      </c>
      <c r="I798" t="s">
        <v>99</v>
      </c>
      <c r="J798" s="2">
        <v>57000</v>
      </c>
      <c r="K798">
        <v>2</v>
      </c>
      <c r="L798" s="2">
        <v>0.05</v>
      </c>
      <c r="M798" s="2">
        <v>13896.93</v>
      </c>
      <c r="N798" t="s">
        <v>114</v>
      </c>
      <c r="O798" t="s">
        <v>71</v>
      </c>
      <c r="P798" t="s">
        <v>47</v>
      </c>
    </row>
    <row r="799" spans="1:16" x14ac:dyDescent="0.3">
      <c r="A799" t="s">
        <v>1319</v>
      </c>
      <c r="B799" s="1">
        <v>46327</v>
      </c>
      <c r="C799" t="s">
        <v>1320</v>
      </c>
      <c r="D799" t="s">
        <v>91</v>
      </c>
      <c r="E799" t="s">
        <v>91</v>
      </c>
      <c r="F799" t="s">
        <v>60</v>
      </c>
      <c r="G799" t="s">
        <v>76</v>
      </c>
      <c r="H799" t="s">
        <v>77</v>
      </c>
      <c r="I799" t="s">
        <v>78</v>
      </c>
      <c r="J799" s="2">
        <v>6480</v>
      </c>
      <c r="K799">
        <v>3</v>
      </c>
      <c r="L799" s="2">
        <v>0.1</v>
      </c>
      <c r="M799" s="2">
        <v>1656.56</v>
      </c>
      <c r="N799" t="s">
        <v>45</v>
      </c>
      <c r="O799" t="s">
        <v>25</v>
      </c>
      <c r="P799" t="s">
        <v>47</v>
      </c>
    </row>
    <row r="800" spans="1:16" x14ac:dyDescent="0.3">
      <c r="A800" t="s">
        <v>1276</v>
      </c>
      <c r="B800" s="1">
        <v>46299</v>
      </c>
      <c r="C800" t="s">
        <v>914</v>
      </c>
      <c r="D800" t="s">
        <v>18</v>
      </c>
      <c r="E800" t="s">
        <v>19</v>
      </c>
      <c r="F800" t="s">
        <v>20</v>
      </c>
      <c r="G800" t="s">
        <v>21</v>
      </c>
      <c r="H800" t="s">
        <v>175</v>
      </c>
      <c r="I800" t="s">
        <v>176</v>
      </c>
      <c r="J800" s="2">
        <v>2210</v>
      </c>
      <c r="K800">
        <v>4</v>
      </c>
      <c r="L800" s="2">
        <v>0.15</v>
      </c>
      <c r="M800" s="2">
        <v>250.99</v>
      </c>
      <c r="N800" t="s">
        <v>64</v>
      </c>
      <c r="O800" t="s">
        <v>65</v>
      </c>
      <c r="P800" t="s">
        <v>55</v>
      </c>
    </row>
    <row r="801" spans="1:16" x14ac:dyDescent="0.3">
      <c r="A801" t="s">
        <v>623</v>
      </c>
      <c r="B801" s="1">
        <v>45891</v>
      </c>
      <c r="C801" t="s">
        <v>57</v>
      </c>
      <c r="D801" t="s">
        <v>68</v>
      </c>
      <c r="E801" t="s">
        <v>69</v>
      </c>
      <c r="F801" t="s">
        <v>41</v>
      </c>
      <c r="G801" t="s">
        <v>42</v>
      </c>
      <c r="H801" t="s">
        <v>43</v>
      </c>
      <c r="I801" t="s">
        <v>44</v>
      </c>
      <c r="J801" s="2">
        <v>14450</v>
      </c>
      <c r="K801">
        <v>2</v>
      </c>
      <c r="L801" s="2">
        <v>0.15</v>
      </c>
      <c r="M801" s="2">
        <v>1677.01</v>
      </c>
      <c r="N801" t="s">
        <v>45</v>
      </c>
      <c r="O801" t="s">
        <v>65</v>
      </c>
      <c r="P801" t="s">
        <v>47</v>
      </c>
    </row>
    <row r="802" spans="1:16" x14ac:dyDescent="0.3">
      <c r="A802" t="s">
        <v>256</v>
      </c>
      <c r="B802" s="1">
        <v>45728</v>
      </c>
      <c r="C802" t="s">
        <v>257</v>
      </c>
      <c r="D802" t="s">
        <v>39</v>
      </c>
      <c r="E802" t="s">
        <v>40</v>
      </c>
      <c r="F802" t="s">
        <v>41</v>
      </c>
      <c r="G802" t="s">
        <v>21</v>
      </c>
      <c r="H802" t="s">
        <v>179</v>
      </c>
      <c r="I802" t="s">
        <v>180</v>
      </c>
      <c r="J802" s="2">
        <v>13680</v>
      </c>
      <c r="K802">
        <v>6</v>
      </c>
      <c r="L802" s="2">
        <v>0.05</v>
      </c>
      <c r="M802" s="2">
        <v>1036.28</v>
      </c>
      <c r="N802" t="s">
        <v>24</v>
      </c>
      <c r="O802" t="s">
        <v>71</v>
      </c>
      <c r="P802" t="s">
        <v>55</v>
      </c>
    </row>
    <row r="803" spans="1:16" x14ac:dyDescent="0.3">
      <c r="A803" t="s">
        <v>1110</v>
      </c>
      <c r="B803" s="1">
        <v>46179</v>
      </c>
      <c r="C803" t="s">
        <v>864</v>
      </c>
      <c r="D803" t="s">
        <v>58</v>
      </c>
      <c r="E803" t="s">
        <v>59</v>
      </c>
      <c r="F803" t="s">
        <v>60</v>
      </c>
      <c r="G803" t="s">
        <v>42</v>
      </c>
      <c r="H803" t="s">
        <v>53</v>
      </c>
      <c r="I803" t="s">
        <v>120</v>
      </c>
      <c r="J803" s="2">
        <v>21000</v>
      </c>
      <c r="K803">
        <v>5</v>
      </c>
      <c r="L803" s="2">
        <v>0</v>
      </c>
      <c r="M803" s="2">
        <v>2819.8</v>
      </c>
      <c r="N803" t="s">
        <v>64</v>
      </c>
      <c r="O803" t="s">
        <v>25</v>
      </c>
      <c r="P803" t="s">
        <v>47</v>
      </c>
    </row>
    <row r="804" spans="1:16" x14ac:dyDescent="0.3">
      <c r="A804" t="s">
        <v>1364</v>
      </c>
      <c r="B804" s="1">
        <v>46362</v>
      </c>
      <c r="C804" t="s">
        <v>978</v>
      </c>
      <c r="D804" t="s">
        <v>166</v>
      </c>
      <c r="E804" t="s">
        <v>75</v>
      </c>
      <c r="F804" t="s">
        <v>20</v>
      </c>
      <c r="G804" t="s">
        <v>76</v>
      </c>
      <c r="H804" t="s">
        <v>77</v>
      </c>
      <c r="I804" t="s">
        <v>78</v>
      </c>
      <c r="J804" s="2">
        <v>8640</v>
      </c>
      <c r="K804">
        <v>4</v>
      </c>
      <c r="L804" s="2">
        <v>0.1</v>
      </c>
      <c r="M804" s="2">
        <v>2016.96</v>
      </c>
      <c r="N804" t="s">
        <v>45</v>
      </c>
      <c r="O804" t="s">
        <v>79</v>
      </c>
      <c r="P804" t="s">
        <v>26</v>
      </c>
    </row>
    <row r="805" spans="1:16" x14ac:dyDescent="0.3">
      <c r="A805" t="s">
        <v>420</v>
      </c>
      <c r="B805" s="1">
        <v>45790</v>
      </c>
      <c r="C805" t="s">
        <v>421</v>
      </c>
      <c r="D805" t="s">
        <v>74</v>
      </c>
      <c r="E805" t="s">
        <v>75</v>
      </c>
      <c r="F805" t="s">
        <v>20</v>
      </c>
      <c r="G805" t="s">
        <v>61</v>
      </c>
      <c r="H805" t="s">
        <v>98</v>
      </c>
      <c r="I805" t="s">
        <v>99</v>
      </c>
      <c r="J805" s="2">
        <v>127500</v>
      </c>
      <c r="K805">
        <v>5</v>
      </c>
      <c r="L805" s="2">
        <v>0.15</v>
      </c>
      <c r="M805" s="2">
        <v>18031.63</v>
      </c>
      <c r="N805" t="s">
        <v>24</v>
      </c>
      <c r="O805" t="s">
        <v>65</v>
      </c>
      <c r="P805" t="s">
        <v>47</v>
      </c>
    </row>
    <row r="806" spans="1:16" x14ac:dyDescent="0.3">
      <c r="A806" t="s">
        <v>800</v>
      </c>
      <c r="B806" s="1">
        <v>45997</v>
      </c>
      <c r="C806" t="s">
        <v>723</v>
      </c>
      <c r="D806" t="s">
        <v>96</v>
      </c>
      <c r="E806" t="s">
        <v>97</v>
      </c>
      <c r="F806" t="s">
        <v>20</v>
      </c>
      <c r="G806" t="s">
        <v>61</v>
      </c>
      <c r="H806" t="s">
        <v>62</v>
      </c>
      <c r="I806" t="s">
        <v>63</v>
      </c>
      <c r="J806" s="2">
        <v>900</v>
      </c>
      <c r="K806">
        <v>1</v>
      </c>
      <c r="L806" s="2">
        <v>0</v>
      </c>
      <c r="M806" s="2">
        <v>114.86</v>
      </c>
      <c r="N806" t="s">
        <v>35</v>
      </c>
      <c r="O806" t="s">
        <v>25</v>
      </c>
      <c r="P806" t="s">
        <v>47</v>
      </c>
    </row>
    <row r="807" spans="1:16" x14ac:dyDescent="0.3">
      <c r="A807" t="s">
        <v>191</v>
      </c>
      <c r="B807" s="1">
        <v>45699</v>
      </c>
      <c r="C807" t="s">
        <v>192</v>
      </c>
      <c r="D807" t="s">
        <v>166</v>
      </c>
      <c r="E807" t="s">
        <v>75</v>
      </c>
      <c r="F807" t="s">
        <v>20</v>
      </c>
      <c r="G807" t="s">
        <v>42</v>
      </c>
      <c r="H807" t="s">
        <v>43</v>
      </c>
      <c r="I807" t="s">
        <v>44</v>
      </c>
      <c r="J807" s="2">
        <v>8075</v>
      </c>
      <c r="K807">
        <v>1</v>
      </c>
      <c r="L807" s="2">
        <v>0.05</v>
      </c>
      <c r="M807" s="2">
        <v>1586.57</v>
      </c>
      <c r="N807" t="s">
        <v>64</v>
      </c>
      <c r="O807" t="s">
        <v>71</v>
      </c>
      <c r="P807" t="s">
        <v>26</v>
      </c>
    </row>
    <row r="808" spans="1:16" x14ac:dyDescent="0.3">
      <c r="A808" t="s">
        <v>271</v>
      </c>
      <c r="B808" s="1">
        <v>45734</v>
      </c>
      <c r="C808" t="s">
        <v>272</v>
      </c>
      <c r="D808" t="s">
        <v>29</v>
      </c>
      <c r="E808" t="s">
        <v>30</v>
      </c>
      <c r="F808" t="s">
        <v>31</v>
      </c>
      <c r="G808" t="s">
        <v>32</v>
      </c>
      <c r="H808" t="s">
        <v>33</v>
      </c>
      <c r="I808" t="s">
        <v>34</v>
      </c>
      <c r="J808" s="2">
        <v>5890</v>
      </c>
      <c r="K808">
        <v>1</v>
      </c>
      <c r="L808" s="2">
        <v>0.05</v>
      </c>
      <c r="M808" s="2">
        <v>1451.45</v>
      </c>
      <c r="N808" t="s">
        <v>114</v>
      </c>
      <c r="O808" t="s">
        <v>79</v>
      </c>
      <c r="P808" t="s">
        <v>47</v>
      </c>
    </row>
    <row r="809" spans="1:16" x14ac:dyDescent="0.3">
      <c r="A809" t="s">
        <v>783</v>
      </c>
      <c r="B809" s="1">
        <v>45989</v>
      </c>
      <c r="C809" t="s">
        <v>784</v>
      </c>
      <c r="D809" t="s">
        <v>50</v>
      </c>
      <c r="E809" t="s">
        <v>51</v>
      </c>
      <c r="F809" t="s">
        <v>52</v>
      </c>
      <c r="G809" t="s">
        <v>32</v>
      </c>
      <c r="H809" t="s">
        <v>33</v>
      </c>
      <c r="I809" t="s">
        <v>34</v>
      </c>
      <c r="J809" s="2">
        <v>23560</v>
      </c>
      <c r="K809">
        <v>4</v>
      </c>
      <c r="L809" s="2">
        <v>0.05</v>
      </c>
      <c r="M809" s="2">
        <v>5338.21</v>
      </c>
      <c r="N809" t="s">
        <v>45</v>
      </c>
      <c r="O809" t="s">
        <v>65</v>
      </c>
      <c r="P809" t="s">
        <v>55</v>
      </c>
    </row>
    <row r="810" spans="1:16" x14ac:dyDescent="0.3">
      <c r="A810" t="s">
        <v>1118</v>
      </c>
      <c r="B810" s="1">
        <v>46185</v>
      </c>
      <c r="C810" t="s">
        <v>1027</v>
      </c>
      <c r="D810" t="s">
        <v>58</v>
      </c>
      <c r="E810" t="s">
        <v>59</v>
      </c>
      <c r="F810" t="s">
        <v>60</v>
      </c>
      <c r="G810" t="s">
        <v>61</v>
      </c>
      <c r="H810" t="s">
        <v>128</v>
      </c>
      <c r="I810" t="s">
        <v>195</v>
      </c>
      <c r="J810" s="2">
        <v>208800</v>
      </c>
      <c r="K810">
        <v>4</v>
      </c>
      <c r="L810" s="2">
        <v>0.1</v>
      </c>
      <c r="M810" s="2">
        <v>46789.19</v>
      </c>
      <c r="N810" t="s">
        <v>64</v>
      </c>
      <c r="O810" t="s">
        <v>79</v>
      </c>
      <c r="P810" t="s">
        <v>55</v>
      </c>
    </row>
    <row r="811" spans="1:16" x14ac:dyDescent="0.3">
      <c r="A811" t="s">
        <v>844</v>
      </c>
      <c r="B811" s="1">
        <v>46030</v>
      </c>
      <c r="C811" t="s">
        <v>276</v>
      </c>
      <c r="D811" t="s">
        <v>166</v>
      </c>
      <c r="E811" t="s">
        <v>75</v>
      </c>
      <c r="F811" t="s">
        <v>20</v>
      </c>
      <c r="G811" t="s">
        <v>42</v>
      </c>
      <c r="H811" t="s">
        <v>279</v>
      </c>
      <c r="I811" t="s">
        <v>280</v>
      </c>
      <c r="J811" s="2">
        <v>37500</v>
      </c>
      <c r="K811">
        <v>3</v>
      </c>
      <c r="L811" s="2">
        <v>0</v>
      </c>
      <c r="M811" s="2">
        <v>6973.75</v>
      </c>
      <c r="N811" t="s">
        <v>64</v>
      </c>
      <c r="O811" t="s">
        <v>65</v>
      </c>
      <c r="P811" t="s">
        <v>26</v>
      </c>
    </row>
    <row r="812" spans="1:16" x14ac:dyDescent="0.3">
      <c r="A812" t="s">
        <v>892</v>
      </c>
      <c r="B812" s="1">
        <v>46050</v>
      </c>
      <c r="C812" t="s">
        <v>221</v>
      </c>
      <c r="D812" t="s">
        <v>96</v>
      </c>
      <c r="E812" t="s">
        <v>97</v>
      </c>
      <c r="F812" t="s">
        <v>20</v>
      </c>
      <c r="G812" t="s">
        <v>61</v>
      </c>
      <c r="H812" t="s">
        <v>62</v>
      </c>
      <c r="I812" t="s">
        <v>63</v>
      </c>
      <c r="J812" s="2">
        <v>2295</v>
      </c>
      <c r="K812">
        <v>3</v>
      </c>
      <c r="L812" s="2">
        <v>0.15</v>
      </c>
      <c r="M812" s="2">
        <v>556.46</v>
      </c>
      <c r="N812" t="s">
        <v>114</v>
      </c>
      <c r="O812" t="s">
        <v>105</v>
      </c>
      <c r="P812" t="s">
        <v>47</v>
      </c>
    </row>
    <row r="813" spans="1:16" x14ac:dyDescent="0.3">
      <c r="A813" t="s">
        <v>1268</v>
      </c>
      <c r="B813" s="1">
        <v>46294</v>
      </c>
      <c r="C813" t="s">
        <v>575</v>
      </c>
      <c r="D813" t="s">
        <v>104</v>
      </c>
      <c r="E813" t="s">
        <v>83</v>
      </c>
      <c r="F813" t="s">
        <v>52</v>
      </c>
      <c r="G813" t="s">
        <v>32</v>
      </c>
      <c r="H813" t="s">
        <v>84</v>
      </c>
      <c r="I813" t="s">
        <v>140</v>
      </c>
      <c r="J813" s="2">
        <v>6750</v>
      </c>
      <c r="K813">
        <v>1</v>
      </c>
      <c r="L813" s="2">
        <v>0.1</v>
      </c>
      <c r="M813" s="2">
        <v>992.76</v>
      </c>
      <c r="N813" t="s">
        <v>45</v>
      </c>
      <c r="O813" t="s">
        <v>108</v>
      </c>
      <c r="P813" t="s">
        <v>47</v>
      </c>
    </row>
    <row r="814" spans="1:16" x14ac:dyDescent="0.3">
      <c r="A814" t="s">
        <v>317</v>
      </c>
      <c r="B814" s="1">
        <v>45746</v>
      </c>
      <c r="C814" t="s">
        <v>318</v>
      </c>
      <c r="D814" t="s">
        <v>173</v>
      </c>
      <c r="E814" t="s">
        <v>174</v>
      </c>
      <c r="F814" t="s">
        <v>60</v>
      </c>
      <c r="G814" t="s">
        <v>76</v>
      </c>
      <c r="H814" t="s">
        <v>122</v>
      </c>
      <c r="I814" t="s">
        <v>217</v>
      </c>
      <c r="J814" s="2">
        <v>10260</v>
      </c>
      <c r="K814">
        <v>6</v>
      </c>
      <c r="L814" s="2">
        <v>0.05</v>
      </c>
      <c r="M814" s="2">
        <v>2668.72</v>
      </c>
      <c r="N814" t="s">
        <v>114</v>
      </c>
      <c r="O814" t="s">
        <v>65</v>
      </c>
      <c r="P814" t="s">
        <v>55</v>
      </c>
    </row>
    <row r="815" spans="1:16" x14ac:dyDescent="0.3">
      <c r="A815" t="s">
        <v>837</v>
      </c>
      <c r="B815" s="1">
        <v>46023</v>
      </c>
      <c r="C815" t="s">
        <v>838</v>
      </c>
      <c r="D815" t="s">
        <v>29</v>
      </c>
      <c r="E815" t="s">
        <v>30</v>
      </c>
      <c r="F815" t="s">
        <v>31</v>
      </c>
      <c r="G815" t="s">
        <v>61</v>
      </c>
      <c r="H815" t="s">
        <v>98</v>
      </c>
      <c r="I815" t="s">
        <v>156</v>
      </c>
      <c r="J815" s="2">
        <v>136800</v>
      </c>
      <c r="K815">
        <v>4</v>
      </c>
      <c r="L815" s="2">
        <v>0.1</v>
      </c>
      <c r="M815" s="2">
        <v>33888.639999999999</v>
      </c>
      <c r="N815" t="s">
        <v>114</v>
      </c>
      <c r="O815" t="s">
        <v>135</v>
      </c>
      <c r="P815" t="s">
        <v>47</v>
      </c>
    </row>
    <row r="816" spans="1:16" x14ac:dyDescent="0.3">
      <c r="A816" t="s">
        <v>907</v>
      </c>
      <c r="B816" s="1">
        <v>46060</v>
      </c>
      <c r="C816" t="s">
        <v>182</v>
      </c>
      <c r="D816" t="s">
        <v>91</v>
      </c>
      <c r="E816" t="s">
        <v>91</v>
      </c>
      <c r="F816" t="s">
        <v>60</v>
      </c>
      <c r="G816" t="s">
        <v>32</v>
      </c>
      <c r="H816" t="s">
        <v>84</v>
      </c>
      <c r="I816" t="s">
        <v>140</v>
      </c>
      <c r="J816" s="2">
        <v>7125</v>
      </c>
      <c r="K816">
        <v>1</v>
      </c>
      <c r="L816" s="2">
        <v>0.05</v>
      </c>
      <c r="M816" s="2">
        <v>1067.8699999999999</v>
      </c>
      <c r="N816" t="s">
        <v>45</v>
      </c>
      <c r="O816" t="s">
        <v>25</v>
      </c>
      <c r="P816" t="s">
        <v>47</v>
      </c>
    </row>
    <row r="817" spans="1:16" x14ac:dyDescent="0.3">
      <c r="A817" t="s">
        <v>1053</v>
      </c>
      <c r="B817" s="1">
        <v>46148</v>
      </c>
      <c r="C817" t="s">
        <v>647</v>
      </c>
      <c r="D817" t="s">
        <v>58</v>
      </c>
      <c r="E817" t="s">
        <v>59</v>
      </c>
      <c r="F817" t="s">
        <v>60</v>
      </c>
      <c r="G817" t="s">
        <v>21</v>
      </c>
      <c r="H817" t="s">
        <v>179</v>
      </c>
      <c r="I817" t="s">
        <v>180</v>
      </c>
      <c r="J817" s="2">
        <v>8160</v>
      </c>
      <c r="K817">
        <v>4</v>
      </c>
      <c r="L817" s="2">
        <v>0.15</v>
      </c>
      <c r="M817" s="2">
        <v>2170.62</v>
      </c>
      <c r="N817" t="s">
        <v>64</v>
      </c>
      <c r="O817" t="s">
        <v>135</v>
      </c>
      <c r="P817" t="s">
        <v>26</v>
      </c>
    </row>
    <row r="818" spans="1:16" x14ac:dyDescent="0.3">
      <c r="A818" t="s">
        <v>102</v>
      </c>
      <c r="B818" s="1">
        <v>45667</v>
      </c>
      <c r="C818" t="s">
        <v>103</v>
      </c>
      <c r="D818" t="s">
        <v>104</v>
      </c>
      <c r="E818" t="s">
        <v>83</v>
      </c>
      <c r="F818" t="s">
        <v>52</v>
      </c>
      <c r="G818" t="s">
        <v>32</v>
      </c>
      <c r="H818" t="s">
        <v>84</v>
      </c>
      <c r="I818" t="s">
        <v>85</v>
      </c>
      <c r="J818" s="2">
        <v>11250</v>
      </c>
      <c r="K818">
        <v>1</v>
      </c>
      <c r="L818" s="2">
        <v>0.1</v>
      </c>
      <c r="M818" s="2">
        <v>1266.69</v>
      </c>
      <c r="N818" t="s">
        <v>35</v>
      </c>
      <c r="O818" t="s">
        <v>105</v>
      </c>
      <c r="P818" t="s">
        <v>47</v>
      </c>
    </row>
    <row r="819" spans="1:16" x14ac:dyDescent="0.3">
      <c r="A819" t="s">
        <v>1139</v>
      </c>
      <c r="B819" s="1">
        <v>46204</v>
      </c>
      <c r="C819" t="s">
        <v>457</v>
      </c>
      <c r="D819" t="s">
        <v>173</v>
      </c>
      <c r="E819" t="s">
        <v>174</v>
      </c>
      <c r="F819" t="s">
        <v>60</v>
      </c>
      <c r="G819" t="s">
        <v>61</v>
      </c>
      <c r="H819" t="s">
        <v>62</v>
      </c>
      <c r="I819" t="s">
        <v>70</v>
      </c>
      <c r="J819" s="2">
        <v>8550</v>
      </c>
      <c r="K819">
        <v>5</v>
      </c>
      <c r="L819" s="2">
        <v>0.05</v>
      </c>
      <c r="M819" s="2">
        <v>1646.82</v>
      </c>
      <c r="N819" t="s">
        <v>114</v>
      </c>
      <c r="O819" t="s">
        <v>108</v>
      </c>
      <c r="P819" t="s">
        <v>26</v>
      </c>
    </row>
    <row r="820" spans="1:16" x14ac:dyDescent="0.3">
      <c r="A820" t="s">
        <v>282</v>
      </c>
      <c r="B820" s="1">
        <v>45737</v>
      </c>
      <c r="C820" t="s">
        <v>283</v>
      </c>
      <c r="D820" t="s">
        <v>58</v>
      </c>
      <c r="E820" t="s">
        <v>59</v>
      </c>
      <c r="F820" t="s">
        <v>60</v>
      </c>
      <c r="G820" t="s">
        <v>61</v>
      </c>
      <c r="H820" t="s">
        <v>128</v>
      </c>
      <c r="I820" t="s">
        <v>129</v>
      </c>
      <c r="J820" s="2">
        <v>49400</v>
      </c>
      <c r="K820">
        <v>1</v>
      </c>
      <c r="L820" s="2">
        <v>0.05</v>
      </c>
      <c r="M820" s="2">
        <v>5343.21</v>
      </c>
      <c r="N820" t="s">
        <v>24</v>
      </c>
      <c r="O820" t="s">
        <v>25</v>
      </c>
      <c r="P820" t="s">
        <v>47</v>
      </c>
    </row>
    <row r="821" spans="1:16" x14ac:dyDescent="0.3">
      <c r="A821" t="s">
        <v>1137</v>
      </c>
      <c r="B821" s="1">
        <v>46203</v>
      </c>
      <c r="C821" t="s">
        <v>1138</v>
      </c>
      <c r="D821" t="s">
        <v>29</v>
      </c>
      <c r="E821" t="s">
        <v>30</v>
      </c>
      <c r="F821" t="s">
        <v>31</v>
      </c>
      <c r="G821" t="s">
        <v>42</v>
      </c>
      <c r="H821" t="s">
        <v>43</v>
      </c>
      <c r="I821" t="s">
        <v>44</v>
      </c>
      <c r="J821" s="2">
        <v>30600</v>
      </c>
      <c r="K821">
        <v>4</v>
      </c>
      <c r="L821" s="2">
        <v>0.1</v>
      </c>
      <c r="M821" s="2">
        <v>7732.71</v>
      </c>
      <c r="N821" t="s">
        <v>45</v>
      </c>
      <c r="O821" t="s">
        <v>25</v>
      </c>
      <c r="P821" t="s">
        <v>47</v>
      </c>
    </row>
    <row r="822" spans="1:16" x14ac:dyDescent="0.3">
      <c r="A822" t="s">
        <v>465</v>
      </c>
      <c r="B822" s="1">
        <v>45806</v>
      </c>
      <c r="C822" t="s">
        <v>186</v>
      </c>
      <c r="D822" t="s">
        <v>74</v>
      </c>
      <c r="E822" t="s">
        <v>75</v>
      </c>
      <c r="F822" t="s">
        <v>20</v>
      </c>
      <c r="G822" t="s">
        <v>21</v>
      </c>
      <c r="H822" t="s">
        <v>179</v>
      </c>
      <c r="I822" t="s">
        <v>180</v>
      </c>
      <c r="J822" s="2">
        <v>6120</v>
      </c>
      <c r="K822">
        <v>3</v>
      </c>
      <c r="L822" s="2">
        <v>0.15</v>
      </c>
      <c r="M822" s="2">
        <v>961.51</v>
      </c>
      <c r="N822" t="s">
        <v>114</v>
      </c>
      <c r="O822" t="s">
        <v>105</v>
      </c>
      <c r="P822" t="s">
        <v>55</v>
      </c>
    </row>
    <row r="823" spans="1:16" x14ac:dyDescent="0.3">
      <c r="A823" t="s">
        <v>770</v>
      </c>
      <c r="B823" s="1">
        <v>45979</v>
      </c>
      <c r="C823" t="s">
        <v>492</v>
      </c>
      <c r="D823" t="s">
        <v>173</v>
      </c>
      <c r="E823" t="s">
        <v>174</v>
      </c>
      <c r="F823" t="s">
        <v>60</v>
      </c>
      <c r="G823" t="s">
        <v>42</v>
      </c>
      <c r="H823" t="s">
        <v>279</v>
      </c>
      <c r="I823" t="s">
        <v>280</v>
      </c>
      <c r="J823" s="2">
        <v>75000</v>
      </c>
      <c r="K823">
        <v>6</v>
      </c>
      <c r="L823" s="2">
        <v>0</v>
      </c>
      <c r="M823" s="2">
        <v>16652.599999999999</v>
      </c>
      <c r="N823" t="s">
        <v>114</v>
      </c>
      <c r="O823" t="s">
        <v>135</v>
      </c>
      <c r="P823" t="s">
        <v>26</v>
      </c>
    </row>
    <row r="824" spans="1:16" x14ac:dyDescent="0.3">
      <c r="A824" t="s">
        <v>639</v>
      </c>
      <c r="B824" s="1">
        <v>45901</v>
      </c>
      <c r="C824" t="s">
        <v>223</v>
      </c>
      <c r="D824" t="s">
        <v>104</v>
      </c>
      <c r="E824" t="s">
        <v>83</v>
      </c>
      <c r="F824" t="s">
        <v>52</v>
      </c>
      <c r="G824" t="s">
        <v>21</v>
      </c>
      <c r="H824" t="s">
        <v>179</v>
      </c>
      <c r="I824" t="s">
        <v>180</v>
      </c>
      <c r="J824" s="2">
        <v>6120</v>
      </c>
      <c r="K824">
        <v>3</v>
      </c>
      <c r="L824" s="2">
        <v>0.15</v>
      </c>
      <c r="M824" s="2">
        <v>1481.74</v>
      </c>
      <c r="N824" t="s">
        <v>35</v>
      </c>
      <c r="O824" t="s">
        <v>86</v>
      </c>
      <c r="P824" t="s">
        <v>26</v>
      </c>
    </row>
    <row r="825" spans="1:16" x14ac:dyDescent="0.3">
      <c r="A825" t="s">
        <v>1241</v>
      </c>
      <c r="B825" s="1">
        <v>46277</v>
      </c>
      <c r="C825" t="s">
        <v>263</v>
      </c>
      <c r="D825" t="s">
        <v>18</v>
      </c>
      <c r="E825" t="s">
        <v>19</v>
      </c>
      <c r="F825" t="s">
        <v>20</v>
      </c>
      <c r="G825" t="s">
        <v>61</v>
      </c>
      <c r="H825" t="s">
        <v>62</v>
      </c>
      <c r="I825" t="s">
        <v>63</v>
      </c>
      <c r="J825" s="2">
        <v>5400</v>
      </c>
      <c r="K825">
        <v>6</v>
      </c>
      <c r="L825" s="2">
        <v>0</v>
      </c>
      <c r="M825" s="2">
        <v>1251.08</v>
      </c>
      <c r="N825" t="s">
        <v>35</v>
      </c>
      <c r="O825" t="s">
        <v>46</v>
      </c>
      <c r="P825" t="s">
        <v>26</v>
      </c>
    </row>
    <row r="826" spans="1:16" x14ac:dyDescent="0.3">
      <c r="A826" t="s">
        <v>336</v>
      </c>
      <c r="B826" s="1">
        <v>45750</v>
      </c>
      <c r="C826" t="s">
        <v>178</v>
      </c>
      <c r="D826" t="s">
        <v>29</v>
      </c>
      <c r="E826" t="s">
        <v>30</v>
      </c>
      <c r="F826" t="s">
        <v>31</v>
      </c>
      <c r="G826" t="s">
        <v>42</v>
      </c>
      <c r="H826" t="s">
        <v>279</v>
      </c>
      <c r="I826" t="s">
        <v>280</v>
      </c>
      <c r="J826" s="2">
        <v>63750</v>
      </c>
      <c r="K826">
        <v>6</v>
      </c>
      <c r="L826" s="2">
        <v>0.15</v>
      </c>
      <c r="M826" s="2">
        <v>10802.08</v>
      </c>
      <c r="N826" t="s">
        <v>35</v>
      </c>
      <c r="O826" t="s">
        <v>135</v>
      </c>
      <c r="P826" t="s">
        <v>55</v>
      </c>
    </row>
    <row r="827" spans="1:16" x14ac:dyDescent="0.3">
      <c r="A827" t="s">
        <v>1282</v>
      </c>
      <c r="B827" s="1">
        <v>46303</v>
      </c>
      <c r="C827" t="s">
        <v>484</v>
      </c>
      <c r="D827" t="s">
        <v>119</v>
      </c>
      <c r="E827" t="s">
        <v>75</v>
      </c>
      <c r="F827" t="s">
        <v>20</v>
      </c>
      <c r="G827" t="s">
        <v>32</v>
      </c>
      <c r="H827" t="s">
        <v>84</v>
      </c>
      <c r="I827" t="s">
        <v>140</v>
      </c>
      <c r="J827" s="2">
        <v>14250</v>
      </c>
      <c r="K827">
        <v>2</v>
      </c>
      <c r="L827" s="2">
        <v>0.05</v>
      </c>
      <c r="M827" s="2">
        <v>3823.79</v>
      </c>
      <c r="N827" t="s">
        <v>45</v>
      </c>
      <c r="O827" t="s">
        <v>108</v>
      </c>
      <c r="P827" t="s">
        <v>47</v>
      </c>
    </row>
    <row r="828" spans="1:16" x14ac:dyDescent="0.3">
      <c r="A828" t="s">
        <v>169</v>
      </c>
      <c r="B828" s="1">
        <v>45694</v>
      </c>
      <c r="C828" t="s">
        <v>170</v>
      </c>
      <c r="D828" t="s">
        <v>39</v>
      </c>
      <c r="E828" t="s">
        <v>40</v>
      </c>
      <c r="F828" t="s">
        <v>41</v>
      </c>
      <c r="G828" t="s">
        <v>76</v>
      </c>
      <c r="H828" t="s">
        <v>77</v>
      </c>
      <c r="I828" t="s">
        <v>171</v>
      </c>
      <c r="J828" s="2">
        <v>3040</v>
      </c>
      <c r="K828">
        <v>2</v>
      </c>
      <c r="L828" s="2">
        <v>0.05</v>
      </c>
      <c r="M828" s="2">
        <v>711.18</v>
      </c>
      <c r="N828" t="s">
        <v>45</v>
      </c>
      <c r="O828" t="s">
        <v>86</v>
      </c>
      <c r="P828" t="s">
        <v>47</v>
      </c>
    </row>
    <row r="829" spans="1:16" x14ac:dyDescent="0.3">
      <c r="A829" t="s">
        <v>657</v>
      </c>
      <c r="B829" s="1">
        <v>45914</v>
      </c>
      <c r="C829" t="s">
        <v>658</v>
      </c>
      <c r="D829" t="s">
        <v>166</v>
      </c>
      <c r="E829" t="s">
        <v>75</v>
      </c>
      <c r="F829" t="s">
        <v>20</v>
      </c>
      <c r="G829" t="s">
        <v>61</v>
      </c>
      <c r="H829" t="s">
        <v>62</v>
      </c>
      <c r="I829" t="s">
        <v>63</v>
      </c>
      <c r="J829" s="2">
        <v>1710</v>
      </c>
      <c r="K829">
        <v>2</v>
      </c>
      <c r="L829" s="2">
        <v>0.05</v>
      </c>
      <c r="M829" s="2">
        <v>373.06</v>
      </c>
      <c r="N829" t="s">
        <v>45</v>
      </c>
      <c r="O829" t="s">
        <v>135</v>
      </c>
      <c r="P829" t="s">
        <v>55</v>
      </c>
    </row>
    <row r="830" spans="1:16" x14ac:dyDescent="0.3">
      <c r="A830" t="s">
        <v>392</v>
      </c>
      <c r="B830" s="1">
        <v>45779</v>
      </c>
      <c r="C830" t="s">
        <v>393</v>
      </c>
      <c r="D830" t="s">
        <v>74</v>
      </c>
      <c r="E830" t="s">
        <v>75</v>
      </c>
      <c r="F830" t="s">
        <v>20</v>
      </c>
      <c r="G830" t="s">
        <v>21</v>
      </c>
      <c r="H830" t="s">
        <v>22</v>
      </c>
      <c r="I830" t="s">
        <v>111</v>
      </c>
      <c r="J830" s="2">
        <v>855</v>
      </c>
      <c r="K830">
        <v>3</v>
      </c>
      <c r="L830" s="2">
        <v>0.05</v>
      </c>
      <c r="M830" s="2">
        <v>68.66</v>
      </c>
      <c r="N830" t="s">
        <v>64</v>
      </c>
      <c r="O830" t="s">
        <v>108</v>
      </c>
      <c r="P830" t="s">
        <v>55</v>
      </c>
    </row>
    <row r="831" spans="1:16" x14ac:dyDescent="0.3">
      <c r="A831" t="s">
        <v>845</v>
      </c>
      <c r="B831" s="1">
        <v>46030</v>
      </c>
      <c r="C831" t="s">
        <v>249</v>
      </c>
      <c r="D831" t="s">
        <v>50</v>
      </c>
      <c r="E831" t="s">
        <v>51</v>
      </c>
      <c r="F831" t="s">
        <v>52</v>
      </c>
      <c r="G831" t="s">
        <v>61</v>
      </c>
      <c r="H831" t="s">
        <v>128</v>
      </c>
      <c r="I831" t="s">
        <v>129</v>
      </c>
      <c r="J831" s="2">
        <v>296400</v>
      </c>
      <c r="K831">
        <v>6</v>
      </c>
      <c r="L831" s="2">
        <v>0.05</v>
      </c>
      <c r="M831" s="2">
        <v>54137.32</v>
      </c>
      <c r="N831" t="s">
        <v>24</v>
      </c>
      <c r="O831" t="s">
        <v>105</v>
      </c>
      <c r="P831" t="s">
        <v>55</v>
      </c>
    </row>
    <row r="832" spans="1:16" x14ac:dyDescent="0.3">
      <c r="A832" t="s">
        <v>1090</v>
      </c>
      <c r="B832" s="1">
        <v>46168</v>
      </c>
      <c r="C832" t="s">
        <v>898</v>
      </c>
      <c r="D832" t="s">
        <v>96</v>
      </c>
      <c r="E832" t="s">
        <v>97</v>
      </c>
      <c r="F832" t="s">
        <v>20</v>
      </c>
      <c r="G832" t="s">
        <v>42</v>
      </c>
      <c r="H832" t="s">
        <v>53</v>
      </c>
      <c r="I832" t="s">
        <v>54</v>
      </c>
      <c r="J832" s="2">
        <v>7650</v>
      </c>
      <c r="K832">
        <v>5</v>
      </c>
      <c r="L832" s="2">
        <v>0.15</v>
      </c>
      <c r="M832" s="2">
        <v>1125.1199999999999</v>
      </c>
      <c r="N832" t="s">
        <v>45</v>
      </c>
      <c r="O832" t="s">
        <v>25</v>
      </c>
      <c r="P832" t="s">
        <v>47</v>
      </c>
    </row>
    <row r="833" spans="1:16" x14ac:dyDescent="0.3">
      <c r="A833" t="s">
        <v>929</v>
      </c>
      <c r="B833" s="1">
        <v>46074</v>
      </c>
      <c r="C833" t="s">
        <v>377</v>
      </c>
      <c r="D833" t="s">
        <v>104</v>
      </c>
      <c r="E833" t="s">
        <v>83</v>
      </c>
      <c r="F833" t="s">
        <v>52</v>
      </c>
      <c r="G833" t="s">
        <v>42</v>
      </c>
      <c r="H833" t="s">
        <v>43</v>
      </c>
      <c r="I833" t="s">
        <v>44</v>
      </c>
      <c r="J833" s="2">
        <v>34000</v>
      </c>
      <c r="K833">
        <v>4</v>
      </c>
      <c r="L833" s="2">
        <v>0</v>
      </c>
      <c r="M833" s="2">
        <v>2901.4</v>
      </c>
      <c r="N833" t="s">
        <v>24</v>
      </c>
      <c r="O833" t="s">
        <v>86</v>
      </c>
      <c r="P833" t="s">
        <v>55</v>
      </c>
    </row>
    <row r="834" spans="1:16" x14ac:dyDescent="0.3">
      <c r="A834" t="s">
        <v>403</v>
      </c>
      <c r="B834" s="1">
        <v>45785</v>
      </c>
      <c r="C834" t="s">
        <v>404</v>
      </c>
      <c r="D834" t="s">
        <v>166</v>
      </c>
      <c r="E834" t="s">
        <v>75</v>
      </c>
      <c r="F834" t="s">
        <v>20</v>
      </c>
      <c r="G834" t="s">
        <v>21</v>
      </c>
      <c r="H834" t="s">
        <v>22</v>
      </c>
      <c r="I834" t="s">
        <v>111</v>
      </c>
      <c r="J834" s="2">
        <v>765</v>
      </c>
      <c r="K834">
        <v>3</v>
      </c>
      <c r="L834" s="2">
        <v>0.15</v>
      </c>
      <c r="M834" s="2">
        <v>121.64</v>
      </c>
      <c r="N834" t="s">
        <v>45</v>
      </c>
      <c r="O834" t="s">
        <v>36</v>
      </c>
      <c r="P834" t="s">
        <v>26</v>
      </c>
    </row>
    <row r="835" spans="1:16" x14ac:dyDescent="0.3">
      <c r="A835" t="s">
        <v>422</v>
      </c>
      <c r="B835" s="1">
        <v>45791</v>
      </c>
      <c r="C835" t="s">
        <v>423</v>
      </c>
      <c r="D835" t="s">
        <v>39</v>
      </c>
      <c r="E835" t="s">
        <v>40</v>
      </c>
      <c r="F835" t="s">
        <v>41</v>
      </c>
      <c r="G835" t="s">
        <v>61</v>
      </c>
      <c r="H835" t="s">
        <v>128</v>
      </c>
      <c r="I835" t="s">
        <v>129</v>
      </c>
      <c r="J835" s="2">
        <v>44200</v>
      </c>
      <c r="K835">
        <v>1</v>
      </c>
      <c r="L835" s="2">
        <v>0.15</v>
      </c>
      <c r="M835" s="2">
        <v>4221.9799999999996</v>
      </c>
      <c r="N835" t="s">
        <v>24</v>
      </c>
      <c r="O835" t="s">
        <v>71</v>
      </c>
      <c r="P835" t="s">
        <v>47</v>
      </c>
    </row>
    <row r="836" spans="1:16" x14ac:dyDescent="0.3">
      <c r="A836" t="s">
        <v>1354</v>
      </c>
      <c r="B836" s="1">
        <v>46354</v>
      </c>
      <c r="C836" t="s">
        <v>696</v>
      </c>
      <c r="D836" t="s">
        <v>91</v>
      </c>
      <c r="E836" t="s">
        <v>91</v>
      </c>
      <c r="F836" t="s">
        <v>60</v>
      </c>
      <c r="G836" t="s">
        <v>42</v>
      </c>
      <c r="H836" t="s">
        <v>53</v>
      </c>
      <c r="I836" t="s">
        <v>54</v>
      </c>
      <c r="J836" s="2">
        <v>10800</v>
      </c>
      <c r="K836">
        <v>6</v>
      </c>
      <c r="L836" s="2">
        <v>0</v>
      </c>
      <c r="M836" s="2">
        <v>1892.29</v>
      </c>
      <c r="N836" t="s">
        <v>45</v>
      </c>
      <c r="O836" t="s">
        <v>71</v>
      </c>
      <c r="P836" t="s">
        <v>47</v>
      </c>
    </row>
    <row r="837" spans="1:16" x14ac:dyDescent="0.3">
      <c r="A837" t="s">
        <v>1014</v>
      </c>
      <c r="B837" s="1">
        <v>46129</v>
      </c>
      <c r="C837" t="s">
        <v>518</v>
      </c>
      <c r="D837" t="s">
        <v>166</v>
      </c>
      <c r="E837" t="s">
        <v>75</v>
      </c>
      <c r="F837" t="s">
        <v>20</v>
      </c>
      <c r="G837" t="s">
        <v>61</v>
      </c>
      <c r="H837" t="s">
        <v>98</v>
      </c>
      <c r="I837" t="s">
        <v>156</v>
      </c>
      <c r="J837" s="2">
        <v>114000</v>
      </c>
      <c r="K837">
        <v>3</v>
      </c>
      <c r="L837" s="2">
        <v>0</v>
      </c>
      <c r="M837" s="2">
        <v>16887.63</v>
      </c>
      <c r="N837" t="s">
        <v>24</v>
      </c>
      <c r="O837" t="s">
        <v>25</v>
      </c>
      <c r="P837" t="s">
        <v>47</v>
      </c>
    </row>
    <row r="838" spans="1:16" x14ac:dyDescent="0.3">
      <c r="A838" t="s">
        <v>425</v>
      </c>
      <c r="B838" s="1">
        <v>45792</v>
      </c>
      <c r="C838" t="s">
        <v>426</v>
      </c>
      <c r="D838" t="s">
        <v>96</v>
      </c>
      <c r="E838" t="s">
        <v>97</v>
      </c>
      <c r="F838" t="s">
        <v>20</v>
      </c>
      <c r="G838" t="s">
        <v>21</v>
      </c>
      <c r="H838" t="s">
        <v>175</v>
      </c>
      <c r="I838" t="s">
        <v>176</v>
      </c>
      <c r="J838" s="2">
        <v>2470</v>
      </c>
      <c r="K838">
        <v>4</v>
      </c>
      <c r="L838" s="2">
        <v>0.05</v>
      </c>
      <c r="M838" s="2">
        <v>484.26</v>
      </c>
      <c r="N838" t="s">
        <v>45</v>
      </c>
      <c r="O838" t="s">
        <v>135</v>
      </c>
      <c r="P838" t="s">
        <v>55</v>
      </c>
    </row>
    <row r="839" spans="1:16" x14ac:dyDescent="0.3">
      <c r="A839" t="s">
        <v>775</v>
      </c>
      <c r="B839" s="1">
        <v>45982</v>
      </c>
      <c r="C839" t="s">
        <v>57</v>
      </c>
      <c r="D839" t="s">
        <v>91</v>
      </c>
      <c r="E839" t="s">
        <v>91</v>
      </c>
      <c r="F839" t="s">
        <v>60</v>
      </c>
      <c r="G839" t="s">
        <v>61</v>
      </c>
      <c r="H839" t="s">
        <v>98</v>
      </c>
      <c r="I839" t="s">
        <v>99</v>
      </c>
      <c r="J839" s="2">
        <v>171000</v>
      </c>
      <c r="K839">
        <v>6</v>
      </c>
      <c r="L839" s="2">
        <v>0.05</v>
      </c>
      <c r="M839" s="2">
        <v>21983</v>
      </c>
      <c r="N839" t="s">
        <v>114</v>
      </c>
      <c r="O839" t="s">
        <v>108</v>
      </c>
      <c r="P839" t="s">
        <v>47</v>
      </c>
    </row>
    <row r="840" spans="1:16" x14ac:dyDescent="0.3">
      <c r="A840" t="s">
        <v>875</v>
      </c>
      <c r="B840" s="1">
        <v>46042</v>
      </c>
      <c r="C840" t="s">
        <v>540</v>
      </c>
      <c r="D840" t="s">
        <v>152</v>
      </c>
      <c r="E840" t="s">
        <v>153</v>
      </c>
      <c r="F840" t="s">
        <v>20</v>
      </c>
      <c r="G840" t="s">
        <v>42</v>
      </c>
      <c r="H840" t="s">
        <v>53</v>
      </c>
      <c r="I840" t="s">
        <v>54</v>
      </c>
      <c r="J840" s="2">
        <v>8550</v>
      </c>
      <c r="K840">
        <v>5</v>
      </c>
      <c r="L840" s="2">
        <v>0.05</v>
      </c>
      <c r="M840" s="2">
        <v>1518.01</v>
      </c>
      <c r="N840" t="s">
        <v>24</v>
      </c>
      <c r="O840" t="s">
        <v>135</v>
      </c>
      <c r="P840" t="s">
        <v>55</v>
      </c>
    </row>
    <row r="841" spans="1:16" x14ac:dyDescent="0.3">
      <c r="A841" t="s">
        <v>1366</v>
      </c>
      <c r="B841" s="1">
        <v>46366</v>
      </c>
      <c r="C841" t="s">
        <v>848</v>
      </c>
      <c r="D841" t="s">
        <v>50</v>
      </c>
      <c r="E841" t="s">
        <v>51</v>
      </c>
      <c r="F841" t="s">
        <v>52</v>
      </c>
      <c r="G841" t="s">
        <v>61</v>
      </c>
      <c r="H841" t="s">
        <v>98</v>
      </c>
      <c r="I841" t="s">
        <v>99</v>
      </c>
      <c r="J841" s="2">
        <v>114000</v>
      </c>
      <c r="K841">
        <v>4</v>
      </c>
      <c r="L841" s="2">
        <v>0.05</v>
      </c>
      <c r="M841" s="2">
        <v>12194.35</v>
      </c>
      <c r="N841" t="s">
        <v>24</v>
      </c>
      <c r="O841" t="s">
        <v>108</v>
      </c>
      <c r="P841" t="s">
        <v>55</v>
      </c>
    </row>
    <row r="842" spans="1:16" x14ac:dyDescent="0.3">
      <c r="A842" t="s">
        <v>554</v>
      </c>
      <c r="B842" s="1">
        <v>45862</v>
      </c>
      <c r="C842" t="s">
        <v>555</v>
      </c>
      <c r="D842" t="s">
        <v>82</v>
      </c>
      <c r="E842" t="s">
        <v>83</v>
      </c>
      <c r="F842" t="s">
        <v>52</v>
      </c>
      <c r="G842" t="s">
        <v>61</v>
      </c>
      <c r="H842" t="s">
        <v>98</v>
      </c>
      <c r="I842" t="s">
        <v>99</v>
      </c>
      <c r="J842" s="2">
        <v>81000</v>
      </c>
      <c r="K842">
        <v>3</v>
      </c>
      <c r="L842" s="2">
        <v>0.1</v>
      </c>
      <c r="M842" s="2">
        <v>5394.67</v>
      </c>
      <c r="N842" t="s">
        <v>64</v>
      </c>
      <c r="O842" t="s">
        <v>86</v>
      </c>
      <c r="P842" t="s">
        <v>47</v>
      </c>
    </row>
    <row r="843" spans="1:16" x14ac:dyDescent="0.3">
      <c r="A843" t="s">
        <v>1160</v>
      </c>
      <c r="B843" s="1">
        <v>46214</v>
      </c>
      <c r="C843" t="s">
        <v>384</v>
      </c>
      <c r="D843" t="s">
        <v>39</v>
      </c>
      <c r="E843" t="s">
        <v>40</v>
      </c>
      <c r="F843" t="s">
        <v>41</v>
      </c>
      <c r="G843" t="s">
        <v>21</v>
      </c>
      <c r="H843" t="s">
        <v>175</v>
      </c>
      <c r="I843" t="s">
        <v>176</v>
      </c>
      <c r="J843" s="2">
        <v>1755</v>
      </c>
      <c r="K843">
        <v>3</v>
      </c>
      <c r="L843" s="2">
        <v>0.1</v>
      </c>
      <c r="M843" s="2">
        <v>143.72</v>
      </c>
      <c r="N843" t="s">
        <v>64</v>
      </c>
      <c r="O843" t="s">
        <v>108</v>
      </c>
      <c r="P843" t="s">
        <v>26</v>
      </c>
    </row>
    <row r="844" spans="1:16" x14ac:dyDescent="0.3">
      <c r="A844" t="s">
        <v>428</v>
      </c>
      <c r="B844" s="1">
        <v>45792</v>
      </c>
      <c r="C844" t="s">
        <v>429</v>
      </c>
      <c r="D844" t="s">
        <v>68</v>
      </c>
      <c r="E844" t="s">
        <v>69</v>
      </c>
      <c r="F844" t="s">
        <v>41</v>
      </c>
      <c r="G844" t="s">
        <v>42</v>
      </c>
      <c r="H844" t="s">
        <v>53</v>
      </c>
      <c r="I844" t="s">
        <v>54</v>
      </c>
      <c r="J844" s="2">
        <v>9180</v>
      </c>
      <c r="K844">
        <v>6</v>
      </c>
      <c r="L844" s="2">
        <v>0.15</v>
      </c>
      <c r="M844" s="2">
        <v>773.05</v>
      </c>
      <c r="N844" t="s">
        <v>64</v>
      </c>
      <c r="O844" t="s">
        <v>135</v>
      </c>
      <c r="P844" t="s">
        <v>55</v>
      </c>
    </row>
    <row r="845" spans="1:16" x14ac:dyDescent="0.3">
      <c r="A845" t="s">
        <v>1022</v>
      </c>
      <c r="B845" s="1">
        <v>46134</v>
      </c>
      <c r="C845" t="s">
        <v>110</v>
      </c>
      <c r="D845" t="s">
        <v>39</v>
      </c>
      <c r="E845" t="s">
        <v>40</v>
      </c>
      <c r="F845" t="s">
        <v>41</v>
      </c>
      <c r="G845" t="s">
        <v>76</v>
      </c>
      <c r="H845" t="s">
        <v>122</v>
      </c>
      <c r="I845" t="s">
        <v>123</v>
      </c>
      <c r="J845" s="2">
        <v>2200</v>
      </c>
      <c r="K845">
        <v>1</v>
      </c>
      <c r="L845" s="2">
        <v>0</v>
      </c>
      <c r="M845" s="2">
        <v>547.08000000000004</v>
      </c>
      <c r="N845" t="s">
        <v>64</v>
      </c>
      <c r="O845" t="s">
        <v>79</v>
      </c>
      <c r="P845" t="s">
        <v>55</v>
      </c>
    </row>
    <row r="846" spans="1:16" x14ac:dyDescent="0.3">
      <c r="A846" t="s">
        <v>883</v>
      </c>
      <c r="B846" s="1">
        <v>46047</v>
      </c>
      <c r="C846" t="s">
        <v>884</v>
      </c>
      <c r="D846" t="s">
        <v>173</v>
      </c>
      <c r="E846" t="s">
        <v>174</v>
      </c>
      <c r="F846" t="s">
        <v>60</v>
      </c>
      <c r="G846" t="s">
        <v>76</v>
      </c>
      <c r="H846" t="s">
        <v>122</v>
      </c>
      <c r="I846" t="s">
        <v>217</v>
      </c>
      <c r="J846" s="2">
        <v>8550</v>
      </c>
      <c r="K846">
        <v>5</v>
      </c>
      <c r="L846" s="2">
        <v>0.05</v>
      </c>
      <c r="M846" s="2">
        <v>1539.53</v>
      </c>
      <c r="N846" t="s">
        <v>35</v>
      </c>
      <c r="O846" t="s">
        <v>65</v>
      </c>
      <c r="P846" t="s">
        <v>26</v>
      </c>
    </row>
    <row r="847" spans="1:16" x14ac:dyDescent="0.3">
      <c r="A847" t="s">
        <v>739</v>
      </c>
      <c r="B847" s="1">
        <v>45960</v>
      </c>
      <c r="C847" t="s">
        <v>740</v>
      </c>
      <c r="D847" t="s">
        <v>29</v>
      </c>
      <c r="E847" t="s">
        <v>30</v>
      </c>
      <c r="F847" t="s">
        <v>31</v>
      </c>
      <c r="G847" t="s">
        <v>76</v>
      </c>
      <c r="H847" t="s">
        <v>77</v>
      </c>
      <c r="I847" t="s">
        <v>171</v>
      </c>
      <c r="J847" s="2">
        <v>9600</v>
      </c>
      <c r="K847">
        <v>6</v>
      </c>
      <c r="L847" s="2">
        <v>0</v>
      </c>
      <c r="M847" s="2">
        <v>2016.18</v>
      </c>
      <c r="N847" t="s">
        <v>24</v>
      </c>
      <c r="O847" t="s">
        <v>36</v>
      </c>
      <c r="P847" t="s">
        <v>55</v>
      </c>
    </row>
    <row r="848" spans="1:16" x14ac:dyDescent="0.3">
      <c r="A848" t="s">
        <v>1202</v>
      </c>
      <c r="B848" s="1">
        <v>46245</v>
      </c>
      <c r="C848" t="s">
        <v>820</v>
      </c>
      <c r="D848" t="s">
        <v>134</v>
      </c>
      <c r="E848" t="s">
        <v>75</v>
      </c>
      <c r="F848" t="s">
        <v>20</v>
      </c>
      <c r="G848" t="s">
        <v>42</v>
      </c>
      <c r="H848" t="s">
        <v>279</v>
      </c>
      <c r="I848" t="s">
        <v>280</v>
      </c>
      <c r="J848" s="2">
        <v>62500</v>
      </c>
      <c r="K848">
        <v>5</v>
      </c>
      <c r="L848" s="2">
        <v>0</v>
      </c>
      <c r="M848" s="2">
        <v>11423.45</v>
      </c>
      <c r="N848" t="s">
        <v>114</v>
      </c>
      <c r="O848" t="s">
        <v>86</v>
      </c>
      <c r="P848" t="s">
        <v>26</v>
      </c>
    </row>
    <row r="849" spans="1:16" x14ac:dyDescent="0.3">
      <c r="A849" t="s">
        <v>1324</v>
      </c>
      <c r="B849" s="1">
        <v>46330</v>
      </c>
      <c r="C849" t="s">
        <v>946</v>
      </c>
      <c r="D849" t="s">
        <v>18</v>
      </c>
      <c r="E849" t="s">
        <v>19</v>
      </c>
      <c r="F849" t="s">
        <v>20</v>
      </c>
      <c r="G849" t="s">
        <v>76</v>
      </c>
      <c r="H849" t="s">
        <v>122</v>
      </c>
      <c r="I849" t="s">
        <v>217</v>
      </c>
      <c r="J849" s="2">
        <v>5130</v>
      </c>
      <c r="K849">
        <v>3</v>
      </c>
      <c r="L849" s="2">
        <v>0.05</v>
      </c>
      <c r="M849" s="2">
        <v>728.38</v>
      </c>
      <c r="N849" t="s">
        <v>64</v>
      </c>
      <c r="O849" t="s">
        <v>135</v>
      </c>
      <c r="P849" t="s">
        <v>55</v>
      </c>
    </row>
    <row r="850" spans="1:16" x14ac:dyDescent="0.3">
      <c r="A850" t="s">
        <v>849</v>
      </c>
      <c r="B850" s="1">
        <v>46030</v>
      </c>
      <c r="C850" t="s">
        <v>301</v>
      </c>
      <c r="D850" t="s">
        <v>96</v>
      </c>
      <c r="E850" t="s">
        <v>97</v>
      </c>
      <c r="F850" t="s">
        <v>20</v>
      </c>
      <c r="G850" t="s">
        <v>21</v>
      </c>
      <c r="H850" t="s">
        <v>175</v>
      </c>
      <c r="I850" t="s">
        <v>176</v>
      </c>
      <c r="J850" s="2">
        <v>1170</v>
      </c>
      <c r="K850">
        <v>2</v>
      </c>
      <c r="L850" s="2">
        <v>0.1</v>
      </c>
      <c r="M850" s="2">
        <v>240.2</v>
      </c>
      <c r="N850" t="s">
        <v>45</v>
      </c>
      <c r="O850" t="s">
        <v>71</v>
      </c>
      <c r="P850" t="s">
        <v>55</v>
      </c>
    </row>
    <row r="851" spans="1:16" x14ac:dyDescent="0.3">
      <c r="A851" t="s">
        <v>348</v>
      </c>
      <c r="B851" s="1">
        <v>45756</v>
      </c>
      <c r="C851" t="s">
        <v>349</v>
      </c>
      <c r="D851" t="s">
        <v>18</v>
      </c>
      <c r="E851" t="s">
        <v>19</v>
      </c>
      <c r="F851" t="s">
        <v>20</v>
      </c>
      <c r="G851" t="s">
        <v>76</v>
      </c>
      <c r="H851" t="s">
        <v>77</v>
      </c>
      <c r="I851" t="s">
        <v>78</v>
      </c>
      <c r="J851" s="2">
        <v>12000</v>
      </c>
      <c r="K851">
        <v>5</v>
      </c>
      <c r="L851" s="2">
        <v>0</v>
      </c>
      <c r="M851" s="2">
        <v>1953.52</v>
      </c>
      <c r="N851" t="s">
        <v>114</v>
      </c>
      <c r="O851" t="s">
        <v>135</v>
      </c>
      <c r="P851" t="s">
        <v>47</v>
      </c>
    </row>
    <row r="852" spans="1:16" x14ac:dyDescent="0.3">
      <c r="A852" t="s">
        <v>1123</v>
      </c>
      <c r="B852" s="1">
        <v>46190</v>
      </c>
      <c r="C852" t="s">
        <v>1124</v>
      </c>
      <c r="D852" t="s">
        <v>152</v>
      </c>
      <c r="E852" t="s">
        <v>153</v>
      </c>
      <c r="F852" t="s">
        <v>20</v>
      </c>
      <c r="G852" t="s">
        <v>61</v>
      </c>
      <c r="H852" t="s">
        <v>62</v>
      </c>
      <c r="I852" t="s">
        <v>70</v>
      </c>
      <c r="J852" s="2">
        <v>3240</v>
      </c>
      <c r="K852">
        <v>2</v>
      </c>
      <c r="L852" s="2">
        <v>0.1</v>
      </c>
      <c r="M852" s="2">
        <v>677.91</v>
      </c>
      <c r="N852" t="s">
        <v>114</v>
      </c>
      <c r="O852" t="s">
        <v>135</v>
      </c>
      <c r="P852" t="s">
        <v>26</v>
      </c>
    </row>
    <row r="853" spans="1:16" x14ac:dyDescent="0.3">
      <c r="A853" t="s">
        <v>1210</v>
      </c>
      <c r="B853" s="1">
        <v>46253</v>
      </c>
      <c r="C853" t="s">
        <v>347</v>
      </c>
      <c r="D853" t="s">
        <v>50</v>
      </c>
      <c r="E853" t="s">
        <v>51</v>
      </c>
      <c r="F853" t="s">
        <v>52</v>
      </c>
      <c r="G853" t="s">
        <v>42</v>
      </c>
      <c r="H853" t="s">
        <v>53</v>
      </c>
      <c r="I853" t="s">
        <v>120</v>
      </c>
      <c r="J853" s="2">
        <v>7980</v>
      </c>
      <c r="K853">
        <v>2</v>
      </c>
      <c r="L853" s="2">
        <v>0.05</v>
      </c>
      <c r="M853" s="2">
        <v>800.49</v>
      </c>
      <c r="N853" t="s">
        <v>64</v>
      </c>
      <c r="O853" t="s">
        <v>86</v>
      </c>
      <c r="P853" t="s">
        <v>26</v>
      </c>
    </row>
    <row r="854" spans="1:16" x14ac:dyDescent="0.3">
      <c r="A854" t="s">
        <v>893</v>
      </c>
      <c r="B854" s="1">
        <v>46053</v>
      </c>
      <c r="C854" t="s">
        <v>320</v>
      </c>
      <c r="D854" t="s">
        <v>82</v>
      </c>
      <c r="E854" t="s">
        <v>83</v>
      </c>
      <c r="F854" t="s">
        <v>52</v>
      </c>
      <c r="G854" t="s">
        <v>42</v>
      </c>
      <c r="H854" t="s">
        <v>43</v>
      </c>
      <c r="I854" t="s">
        <v>44</v>
      </c>
      <c r="J854" s="2">
        <v>30600</v>
      </c>
      <c r="K854">
        <v>4</v>
      </c>
      <c r="L854" s="2">
        <v>0.1</v>
      </c>
      <c r="M854" s="2">
        <v>7095.3</v>
      </c>
      <c r="N854" t="s">
        <v>114</v>
      </c>
      <c r="O854" t="s">
        <v>25</v>
      </c>
      <c r="P854" t="s">
        <v>26</v>
      </c>
    </row>
    <row r="855" spans="1:16" x14ac:dyDescent="0.3">
      <c r="A855" t="s">
        <v>747</v>
      </c>
      <c r="B855" s="1">
        <v>45966</v>
      </c>
      <c r="C855" t="s">
        <v>349</v>
      </c>
      <c r="D855" t="s">
        <v>96</v>
      </c>
      <c r="E855" t="s">
        <v>97</v>
      </c>
      <c r="F855" t="s">
        <v>20</v>
      </c>
      <c r="G855" t="s">
        <v>32</v>
      </c>
      <c r="H855" t="s">
        <v>84</v>
      </c>
      <c r="I855" t="s">
        <v>85</v>
      </c>
      <c r="J855" s="2">
        <v>22500</v>
      </c>
      <c r="K855">
        <v>2</v>
      </c>
      <c r="L855" s="2">
        <v>0.1</v>
      </c>
      <c r="M855" s="2">
        <v>4975.3</v>
      </c>
      <c r="N855" t="s">
        <v>64</v>
      </c>
      <c r="O855" t="s">
        <v>105</v>
      </c>
      <c r="P855" t="s">
        <v>26</v>
      </c>
    </row>
    <row r="856" spans="1:16" x14ac:dyDescent="0.3">
      <c r="A856" t="s">
        <v>793</v>
      </c>
      <c r="B856" s="1">
        <v>45993</v>
      </c>
      <c r="C856" t="s">
        <v>746</v>
      </c>
      <c r="D856" t="s">
        <v>18</v>
      </c>
      <c r="E856" t="s">
        <v>19</v>
      </c>
      <c r="F856" t="s">
        <v>20</v>
      </c>
      <c r="G856" t="s">
        <v>42</v>
      </c>
      <c r="H856" t="s">
        <v>43</v>
      </c>
      <c r="I856" t="s">
        <v>44</v>
      </c>
      <c r="J856" s="2">
        <v>36125</v>
      </c>
      <c r="K856">
        <v>5</v>
      </c>
      <c r="L856" s="2">
        <v>0.15</v>
      </c>
      <c r="M856" s="2">
        <v>8878.06</v>
      </c>
      <c r="N856" t="s">
        <v>24</v>
      </c>
      <c r="O856" t="s">
        <v>71</v>
      </c>
      <c r="P856" t="s">
        <v>47</v>
      </c>
    </row>
    <row r="857" spans="1:16" x14ac:dyDescent="0.3">
      <c r="A857" t="s">
        <v>1317</v>
      </c>
      <c r="B857" s="1">
        <v>46325</v>
      </c>
      <c r="C857" t="s">
        <v>484</v>
      </c>
      <c r="D857" t="s">
        <v>74</v>
      </c>
      <c r="E857" t="s">
        <v>75</v>
      </c>
      <c r="F857" t="s">
        <v>20</v>
      </c>
      <c r="G857" t="s">
        <v>76</v>
      </c>
      <c r="H857" t="s">
        <v>122</v>
      </c>
      <c r="I857" t="s">
        <v>217</v>
      </c>
      <c r="J857" s="2">
        <v>5130</v>
      </c>
      <c r="K857">
        <v>3</v>
      </c>
      <c r="L857" s="2">
        <v>0.05</v>
      </c>
      <c r="M857" s="2">
        <v>1066.51</v>
      </c>
      <c r="N857" t="s">
        <v>45</v>
      </c>
      <c r="O857" t="s">
        <v>36</v>
      </c>
      <c r="P857" t="s">
        <v>55</v>
      </c>
    </row>
    <row r="858" spans="1:16" x14ac:dyDescent="0.3">
      <c r="A858" t="s">
        <v>1381</v>
      </c>
      <c r="B858" s="1">
        <v>46380</v>
      </c>
      <c r="C858" t="s">
        <v>1108</v>
      </c>
      <c r="D858" t="s">
        <v>119</v>
      </c>
      <c r="E858" t="s">
        <v>75</v>
      </c>
      <c r="F858" t="s">
        <v>20</v>
      </c>
      <c r="G858" t="s">
        <v>42</v>
      </c>
      <c r="H858" t="s">
        <v>43</v>
      </c>
      <c r="I858" t="s">
        <v>44</v>
      </c>
      <c r="J858" s="2">
        <v>14450</v>
      </c>
      <c r="K858">
        <v>2</v>
      </c>
      <c r="L858" s="2">
        <v>0.15</v>
      </c>
      <c r="M858" s="2">
        <v>2385.0300000000002</v>
      </c>
      <c r="N858" t="s">
        <v>24</v>
      </c>
      <c r="O858" t="s">
        <v>86</v>
      </c>
      <c r="P858" t="s">
        <v>55</v>
      </c>
    </row>
    <row r="859" spans="1:16" x14ac:dyDescent="0.3">
      <c r="A859" t="s">
        <v>880</v>
      </c>
      <c r="B859" s="1">
        <v>46044</v>
      </c>
      <c r="C859" t="s">
        <v>881</v>
      </c>
      <c r="D859" t="s">
        <v>39</v>
      </c>
      <c r="E859" t="s">
        <v>40</v>
      </c>
      <c r="F859" t="s">
        <v>41</v>
      </c>
      <c r="G859" t="s">
        <v>42</v>
      </c>
      <c r="H859" t="s">
        <v>43</v>
      </c>
      <c r="I859" t="s">
        <v>44</v>
      </c>
      <c r="J859" s="2">
        <v>22950</v>
      </c>
      <c r="K859">
        <v>3</v>
      </c>
      <c r="L859" s="2">
        <v>0.1</v>
      </c>
      <c r="M859" s="2">
        <v>3198.06</v>
      </c>
      <c r="N859" t="s">
        <v>114</v>
      </c>
      <c r="O859" t="s">
        <v>108</v>
      </c>
      <c r="P859" t="s">
        <v>55</v>
      </c>
    </row>
    <row r="860" spans="1:16" x14ac:dyDescent="0.3">
      <c r="A860" t="s">
        <v>781</v>
      </c>
      <c r="B860" s="1">
        <v>45987</v>
      </c>
      <c r="C860" t="s">
        <v>194</v>
      </c>
      <c r="D860" t="s">
        <v>173</v>
      </c>
      <c r="E860" t="s">
        <v>174</v>
      </c>
      <c r="F860" t="s">
        <v>60</v>
      </c>
      <c r="G860" t="s">
        <v>61</v>
      </c>
      <c r="H860" t="s">
        <v>98</v>
      </c>
      <c r="I860" t="s">
        <v>99</v>
      </c>
      <c r="J860" s="2">
        <v>28500</v>
      </c>
      <c r="K860">
        <v>1</v>
      </c>
      <c r="L860" s="2">
        <v>0.05</v>
      </c>
      <c r="M860" s="2">
        <v>6091.69</v>
      </c>
      <c r="N860" t="s">
        <v>114</v>
      </c>
      <c r="O860" t="s">
        <v>105</v>
      </c>
      <c r="P860" t="s">
        <v>26</v>
      </c>
    </row>
    <row r="861" spans="1:16" x14ac:dyDescent="0.3">
      <c r="A861" t="s">
        <v>688</v>
      </c>
      <c r="B861" s="1">
        <v>45928</v>
      </c>
      <c r="C861" t="s">
        <v>168</v>
      </c>
      <c r="D861" t="s">
        <v>166</v>
      </c>
      <c r="E861" t="s">
        <v>75</v>
      </c>
      <c r="F861" t="s">
        <v>20</v>
      </c>
      <c r="G861" t="s">
        <v>61</v>
      </c>
      <c r="H861" t="s">
        <v>62</v>
      </c>
      <c r="I861" t="s">
        <v>70</v>
      </c>
      <c r="J861" s="2">
        <v>8640</v>
      </c>
      <c r="K861">
        <v>6</v>
      </c>
      <c r="L861" s="2">
        <v>0.2</v>
      </c>
      <c r="M861" s="2">
        <v>2243.91</v>
      </c>
      <c r="N861" t="s">
        <v>114</v>
      </c>
      <c r="O861" t="s">
        <v>25</v>
      </c>
      <c r="P861" t="s">
        <v>55</v>
      </c>
    </row>
    <row r="862" spans="1:16" x14ac:dyDescent="0.3">
      <c r="A862" t="s">
        <v>616</v>
      </c>
      <c r="B862" s="1">
        <v>45888</v>
      </c>
      <c r="C862" t="s">
        <v>549</v>
      </c>
      <c r="D862" t="s">
        <v>68</v>
      </c>
      <c r="E862" t="s">
        <v>69</v>
      </c>
      <c r="F862" t="s">
        <v>41</v>
      </c>
      <c r="G862" t="s">
        <v>21</v>
      </c>
      <c r="H862" t="s">
        <v>179</v>
      </c>
      <c r="I862" t="s">
        <v>180</v>
      </c>
      <c r="J862" s="2">
        <v>4800</v>
      </c>
      <c r="K862">
        <v>2</v>
      </c>
      <c r="L862" s="2">
        <v>0</v>
      </c>
      <c r="M862" s="2">
        <v>964.31</v>
      </c>
      <c r="N862" t="s">
        <v>35</v>
      </c>
      <c r="O862" t="s">
        <v>79</v>
      </c>
      <c r="P862" t="s">
        <v>26</v>
      </c>
    </row>
    <row r="863" spans="1:16" x14ac:dyDescent="0.3">
      <c r="A863" t="s">
        <v>1020</v>
      </c>
      <c r="B863" s="1">
        <v>46132</v>
      </c>
      <c r="C863" t="s">
        <v>900</v>
      </c>
      <c r="D863" t="s">
        <v>119</v>
      </c>
      <c r="E863" t="s">
        <v>75</v>
      </c>
      <c r="F863" t="s">
        <v>20</v>
      </c>
      <c r="G863" t="s">
        <v>21</v>
      </c>
      <c r="H863" t="s">
        <v>22</v>
      </c>
      <c r="I863" t="s">
        <v>23</v>
      </c>
      <c r="J863" s="2">
        <v>2295</v>
      </c>
      <c r="K863">
        <v>6</v>
      </c>
      <c r="L863" s="2">
        <v>0.15</v>
      </c>
      <c r="M863" s="2">
        <v>388.85</v>
      </c>
      <c r="N863" t="s">
        <v>35</v>
      </c>
      <c r="O863" t="s">
        <v>86</v>
      </c>
      <c r="P863" t="s">
        <v>26</v>
      </c>
    </row>
    <row r="864" spans="1:16" x14ac:dyDescent="0.3">
      <c r="A864" t="s">
        <v>1368</v>
      </c>
      <c r="B864" s="1">
        <v>46368</v>
      </c>
      <c r="C864" t="s">
        <v>884</v>
      </c>
      <c r="D864" t="s">
        <v>29</v>
      </c>
      <c r="E864" t="s">
        <v>30</v>
      </c>
      <c r="F864" t="s">
        <v>31</v>
      </c>
      <c r="G864" t="s">
        <v>32</v>
      </c>
      <c r="H864" t="s">
        <v>84</v>
      </c>
      <c r="I864" t="s">
        <v>140</v>
      </c>
      <c r="J864" s="2">
        <v>6750</v>
      </c>
      <c r="K864">
        <v>1</v>
      </c>
      <c r="L864" s="2">
        <v>0.1</v>
      </c>
      <c r="M864" s="2">
        <v>1082.8900000000001</v>
      </c>
      <c r="N864" t="s">
        <v>35</v>
      </c>
      <c r="O864" t="s">
        <v>105</v>
      </c>
      <c r="P864" t="s">
        <v>55</v>
      </c>
    </row>
    <row r="865" spans="1:16" x14ac:dyDescent="0.3">
      <c r="A865" t="s">
        <v>972</v>
      </c>
      <c r="B865" s="1">
        <v>46105</v>
      </c>
      <c r="C865" t="s">
        <v>973</v>
      </c>
      <c r="D865" t="s">
        <v>68</v>
      </c>
      <c r="E865" t="s">
        <v>69</v>
      </c>
      <c r="F865" t="s">
        <v>41</v>
      </c>
      <c r="G865" t="s">
        <v>32</v>
      </c>
      <c r="H865" t="s">
        <v>84</v>
      </c>
      <c r="I865" t="s">
        <v>85</v>
      </c>
      <c r="J865" s="2">
        <v>45000</v>
      </c>
      <c r="K865">
        <v>4</v>
      </c>
      <c r="L865" s="2">
        <v>0.1</v>
      </c>
      <c r="M865" s="2">
        <v>6516.16</v>
      </c>
      <c r="N865" t="s">
        <v>35</v>
      </c>
      <c r="O865" t="s">
        <v>108</v>
      </c>
      <c r="P865" t="s">
        <v>26</v>
      </c>
    </row>
    <row r="866" spans="1:16" x14ac:dyDescent="0.3">
      <c r="A866" t="s">
        <v>1107</v>
      </c>
      <c r="B866" s="1">
        <v>46179</v>
      </c>
      <c r="C866" t="s">
        <v>1108</v>
      </c>
      <c r="D866" t="s">
        <v>166</v>
      </c>
      <c r="E866" t="s">
        <v>75</v>
      </c>
      <c r="F866" t="s">
        <v>20</v>
      </c>
      <c r="G866" t="s">
        <v>32</v>
      </c>
      <c r="H866" t="s">
        <v>92</v>
      </c>
      <c r="I866" t="s">
        <v>93</v>
      </c>
      <c r="J866" s="2">
        <v>34500</v>
      </c>
      <c r="K866">
        <v>3</v>
      </c>
      <c r="L866" s="2">
        <v>0</v>
      </c>
      <c r="M866" s="2">
        <v>6196.04</v>
      </c>
      <c r="N866" t="s">
        <v>114</v>
      </c>
      <c r="O866" t="s">
        <v>46</v>
      </c>
      <c r="P866" t="s">
        <v>55</v>
      </c>
    </row>
    <row r="867" spans="1:16" x14ac:dyDescent="0.3">
      <c r="A867" t="s">
        <v>427</v>
      </c>
      <c r="B867" s="1">
        <v>45792</v>
      </c>
      <c r="C867" t="s">
        <v>377</v>
      </c>
      <c r="D867" t="s">
        <v>166</v>
      </c>
      <c r="E867" t="s">
        <v>75</v>
      </c>
      <c r="F867" t="s">
        <v>20</v>
      </c>
      <c r="G867" t="s">
        <v>42</v>
      </c>
      <c r="H867" t="s">
        <v>279</v>
      </c>
      <c r="I867" t="s">
        <v>280</v>
      </c>
      <c r="J867" s="2">
        <v>25000</v>
      </c>
      <c r="K867">
        <v>2</v>
      </c>
      <c r="L867" s="2">
        <v>0</v>
      </c>
      <c r="M867" s="2">
        <v>4488.25</v>
      </c>
      <c r="N867" t="s">
        <v>35</v>
      </c>
      <c r="O867" t="s">
        <v>135</v>
      </c>
      <c r="P867" t="s">
        <v>26</v>
      </c>
    </row>
    <row r="868" spans="1:16" x14ac:dyDescent="0.3">
      <c r="A868" t="s">
        <v>902</v>
      </c>
      <c r="B868" s="1">
        <v>46058</v>
      </c>
      <c r="C868" t="s">
        <v>73</v>
      </c>
      <c r="D868" t="s">
        <v>68</v>
      </c>
      <c r="E868" t="s">
        <v>69</v>
      </c>
      <c r="F868" t="s">
        <v>41</v>
      </c>
      <c r="G868" t="s">
        <v>32</v>
      </c>
      <c r="H868" t="s">
        <v>33</v>
      </c>
      <c r="I868" t="s">
        <v>34</v>
      </c>
      <c r="J868" s="2">
        <v>19840</v>
      </c>
      <c r="K868">
        <v>4</v>
      </c>
      <c r="L868" s="2">
        <v>0.2</v>
      </c>
      <c r="M868" s="2">
        <v>4956.22</v>
      </c>
      <c r="N868" t="s">
        <v>45</v>
      </c>
      <c r="O868" t="s">
        <v>65</v>
      </c>
      <c r="P868" t="s">
        <v>47</v>
      </c>
    </row>
    <row r="869" spans="1:16" x14ac:dyDescent="0.3">
      <c r="A869" t="s">
        <v>409</v>
      </c>
      <c r="B869" s="1">
        <v>45787</v>
      </c>
      <c r="C869" t="s">
        <v>410</v>
      </c>
      <c r="D869" t="s">
        <v>82</v>
      </c>
      <c r="E869" t="s">
        <v>83</v>
      </c>
      <c r="F869" t="s">
        <v>52</v>
      </c>
      <c r="G869" t="s">
        <v>32</v>
      </c>
      <c r="H869" t="s">
        <v>33</v>
      </c>
      <c r="I869" t="s">
        <v>34</v>
      </c>
      <c r="J869" s="2">
        <v>11160</v>
      </c>
      <c r="K869">
        <v>2</v>
      </c>
      <c r="L869" s="2">
        <v>0.1</v>
      </c>
      <c r="M869" s="2">
        <v>803.4</v>
      </c>
      <c r="N869" t="s">
        <v>64</v>
      </c>
      <c r="O869" t="s">
        <v>108</v>
      </c>
      <c r="P869" t="s">
        <v>55</v>
      </c>
    </row>
    <row r="870" spans="1:16" x14ac:dyDescent="0.3">
      <c r="A870" t="s">
        <v>353</v>
      </c>
      <c r="B870" s="1">
        <v>45759</v>
      </c>
      <c r="C870" t="s">
        <v>354</v>
      </c>
      <c r="D870" t="s">
        <v>152</v>
      </c>
      <c r="E870" t="s">
        <v>153</v>
      </c>
      <c r="F870" t="s">
        <v>20</v>
      </c>
      <c r="G870" t="s">
        <v>21</v>
      </c>
      <c r="H870" t="s">
        <v>175</v>
      </c>
      <c r="I870" t="s">
        <v>176</v>
      </c>
      <c r="J870" s="2">
        <v>2340</v>
      </c>
      <c r="K870">
        <v>4</v>
      </c>
      <c r="L870" s="2">
        <v>0.1</v>
      </c>
      <c r="M870" s="2">
        <v>590.37</v>
      </c>
      <c r="N870" t="s">
        <v>24</v>
      </c>
      <c r="O870" t="s">
        <v>105</v>
      </c>
      <c r="P870" t="s">
        <v>26</v>
      </c>
    </row>
    <row r="871" spans="1:16" x14ac:dyDescent="0.3">
      <c r="A871" t="s">
        <v>1038</v>
      </c>
      <c r="B871" s="1">
        <v>46139</v>
      </c>
      <c r="C871" t="s">
        <v>1039</v>
      </c>
      <c r="D871" t="s">
        <v>50</v>
      </c>
      <c r="E871" t="s">
        <v>51</v>
      </c>
      <c r="F871" t="s">
        <v>52</v>
      </c>
      <c r="G871" t="s">
        <v>76</v>
      </c>
      <c r="H871" t="s">
        <v>122</v>
      </c>
      <c r="I871" t="s">
        <v>217</v>
      </c>
      <c r="J871" s="2">
        <v>10260</v>
      </c>
      <c r="K871">
        <v>6</v>
      </c>
      <c r="L871" s="2">
        <v>0.05</v>
      </c>
      <c r="M871" s="2">
        <v>2077.75</v>
      </c>
      <c r="N871" t="s">
        <v>45</v>
      </c>
      <c r="O871" t="s">
        <v>108</v>
      </c>
      <c r="P871" t="s">
        <v>55</v>
      </c>
    </row>
    <row r="872" spans="1:16" x14ac:dyDescent="0.3">
      <c r="A872" t="s">
        <v>718</v>
      </c>
      <c r="B872" s="1">
        <v>45943</v>
      </c>
      <c r="C872" t="s">
        <v>719</v>
      </c>
      <c r="D872" t="s">
        <v>18</v>
      </c>
      <c r="E872" t="s">
        <v>19</v>
      </c>
      <c r="F872" t="s">
        <v>20</v>
      </c>
      <c r="G872" t="s">
        <v>61</v>
      </c>
      <c r="H872" t="s">
        <v>98</v>
      </c>
      <c r="I872" t="s">
        <v>99</v>
      </c>
      <c r="J872" s="2">
        <v>142500</v>
      </c>
      <c r="K872">
        <v>5</v>
      </c>
      <c r="L872" s="2">
        <v>0.05</v>
      </c>
      <c r="M872" s="2">
        <v>36125.879999999997</v>
      </c>
      <c r="N872" t="s">
        <v>24</v>
      </c>
      <c r="O872" t="s">
        <v>135</v>
      </c>
      <c r="P872" t="s">
        <v>26</v>
      </c>
    </row>
    <row r="873" spans="1:16" x14ac:dyDescent="0.3">
      <c r="A873" t="s">
        <v>987</v>
      </c>
      <c r="B873" s="1">
        <v>46113</v>
      </c>
      <c r="C873" t="s">
        <v>764</v>
      </c>
      <c r="D873" t="s">
        <v>119</v>
      </c>
      <c r="E873" t="s">
        <v>75</v>
      </c>
      <c r="F873" t="s">
        <v>20</v>
      </c>
      <c r="G873" t="s">
        <v>61</v>
      </c>
      <c r="H873" t="s">
        <v>128</v>
      </c>
      <c r="I873" t="s">
        <v>195</v>
      </c>
      <c r="J873" s="2">
        <v>220400</v>
      </c>
      <c r="K873">
        <v>4</v>
      </c>
      <c r="L873" s="2">
        <v>0.05</v>
      </c>
      <c r="M873" s="2">
        <v>22934.9</v>
      </c>
      <c r="N873" t="s">
        <v>64</v>
      </c>
      <c r="O873" t="s">
        <v>46</v>
      </c>
      <c r="P873" t="s">
        <v>47</v>
      </c>
    </row>
    <row r="874" spans="1:16" x14ac:dyDescent="0.3">
      <c r="A874" t="s">
        <v>1115</v>
      </c>
      <c r="B874" s="1">
        <v>46184</v>
      </c>
      <c r="C874" t="s">
        <v>247</v>
      </c>
      <c r="D874" t="s">
        <v>68</v>
      </c>
      <c r="E874" t="s">
        <v>69</v>
      </c>
      <c r="F874" t="s">
        <v>41</v>
      </c>
      <c r="G874" t="s">
        <v>32</v>
      </c>
      <c r="H874" t="s">
        <v>33</v>
      </c>
      <c r="I874" t="s">
        <v>34</v>
      </c>
      <c r="J874" s="2">
        <v>27900</v>
      </c>
      <c r="K874">
        <v>5</v>
      </c>
      <c r="L874" s="2">
        <v>0.1</v>
      </c>
      <c r="M874" s="2">
        <v>5320.11</v>
      </c>
      <c r="N874" t="s">
        <v>45</v>
      </c>
      <c r="O874" t="s">
        <v>36</v>
      </c>
      <c r="P874" t="s">
        <v>55</v>
      </c>
    </row>
    <row r="875" spans="1:16" x14ac:dyDescent="0.3">
      <c r="A875" t="s">
        <v>715</v>
      </c>
      <c r="B875" s="1">
        <v>45941</v>
      </c>
      <c r="C875" t="s">
        <v>716</v>
      </c>
      <c r="D875" t="s">
        <v>104</v>
      </c>
      <c r="E875" t="s">
        <v>83</v>
      </c>
      <c r="F875" t="s">
        <v>52</v>
      </c>
      <c r="G875" t="s">
        <v>61</v>
      </c>
      <c r="H875" t="s">
        <v>98</v>
      </c>
      <c r="I875" t="s">
        <v>156</v>
      </c>
      <c r="J875" s="2">
        <v>68400</v>
      </c>
      <c r="K875">
        <v>2</v>
      </c>
      <c r="L875" s="2">
        <v>0.1</v>
      </c>
      <c r="M875" s="2">
        <v>7292.38</v>
      </c>
      <c r="N875" t="s">
        <v>24</v>
      </c>
      <c r="O875" t="s">
        <v>79</v>
      </c>
      <c r="P875" t="s">
        <v>55</v>
      </c>
    </row>
    <row r="876" spans="1:16" x14ac:dyDescent="0.3">
      <c r="A876" t="s">
        <v>629</v>
      </c>
      <c r="B876" s="1">
        <v>45892</v>
      </c>
      <c r="C876" t="s">
        <v>537</v>
      </c>
      <c r="D876" t="s">
        <v>91</v>
      </c>
      <c r="E876" t="s">
        <v>91</v>
      </c>
      <c r="F876" t="s">
        <v>60</v>
      </c>
      <c r="G876" t="s">
        <v>32</v>
      </c>
      <c r="H876" t="s">
        <v>33</v>
      </c>
      <c r="I876" t="s">
        <v>34</v>
      </c>
      <c r="J876" s="2">
        <v>33480</v>
      </c>
      <c r="K876">
        <v>6</v>
      </c>
      <c r="L876" s="2">
        <v>0.1</v>
      </c>
      <c r="M876" s="2">
        <v>5713.2</v>
      </c>
      <c r="N876" t="s">
        <v>114</v>
      </c>
      <c r="O876" t="s">
        <v>105</v>
      </c>
      <c r="P876" t="s">
        <v>47</v>
      </c>
    </row>
    <row r="877" spans="1:16" x14ac:dyDescent="0.3">
      <c r="A877" t="s">
        <v>455</v>
      </c>
      <c r="B877" s="1">
        <v>45801</v>
      </c>
      <c r="C877" t="s">
        <v>338</v>
      </c>
      <c r="D877" t="s">
        <v>91</v>
      </c>
      <c r="E877" t="s">
        <v>91</v>
      </c>
      <c r="F877" t="s">
        <v>60</v>
      </c>
      <c r="G877" t="s">
        <v>61</v>
      </c>
      <c r="H877" t="s">
        <v>62</v>
      </c>
      <c r="I877" t="s">
        <v>63</v>
      </c>
      <c r="J877" s="2">
        <v>2430</v>
      </c>
      <c r="K877">
        <v>3</v>
      </c>
      <c r="L877" s="2">
        <v>0.1</v>
      </c>
      <c r="M877" s="2">
        <v>359.17</v>
      </c>
      <c r="N877" t="s">
        <v>24</v>
      </c>
      <c r="O877" t="s">
        <v>108</v>
      </c>
      <c r="P877" t="s">
        <v>47</v>
      </c>
    </row>
    <row r="878" spans="1:16" x14ac:dyDescent="0.3">
      <c r="A878" t="s">
        <v>1239</v>
      </c>
      <c r="B878" s="1">
        <v>46275</v>
      </c>
      <c r="C878" t="s">
        <v>184</v>
      </c>
      <c r="D878" t="s">
        <v>134</v>
      </c>
      <c r="E878" t="s">
        <v>75</v>
      </c>
      <c r="F878" t="s">
        <v>20</v>
      </c>
      <c r="G878" t="s">
        <v>32</v>
      </c>
      <c r="H878" t="s">
        <v>84</v>
      </c>
      <c r="I878" t="s">
        <v>140</v>
      </c>
      <c r="J878" s="2">
        <v>35625</v>
      </c>
      <c r="K878">
        <v>5</v>
      </c>
      <c r="L878" s="2">
        <v>0.05</v>
      </c>
      <c r="M878" s="2">
        <v>5980.52</v>
      </c>
      <c r="N878" t="s">
        <v>114</v>
      </c>
      <c r="O878" t="s">
        <v>135</v>
      </c>
      <c r="P878" t="s">
        <v>47</v>
      </c>
    </row>
    <row r="879" spans="1:16" x14ac:dyDescent="0.3">
      <c r="A879" t="s">
        <v>1257</v>
      </c>
      <c r="B879" s="1">
        <v>46289</v>
      </c>
      <c r="C879" t="s">
        <v>790</v>
      </c>
      <c r="D879" t="s">
        <v>104</v>
      </c>
      <c r="E879" t="s">
        <v>83</v>
      </c>
      <c r="F879" t="s">
        <v>52</v>
      </c>
      <c r="G879" t="s">
        <v>76</v>
      </c>
      <c r="H879" t="s">
        <v>122</v>
      </c>
      <c r="I879" t="s">
        <v>123</v>
      </c>
      <c r="J879" s="2">
        <v>11880</v>
      </c>
      <c r="K879">
        <v>6</v>
      </c>
      <c r="L879" s="2">
        <v>0.1</v>
      </c>
      <c r="M879" s="2">
        <v>1699.34</v>
      </c>
      <c r="N879" t="s">
        <v>35</v>
      </c>
      <c r="O879" t="s">
        <v>25</v>
      </c>
      <c r="P879" t="s">
        <v>47</v>
      </c>
    </row>
    <row r="880" spans="1:16" x14ac:dyDescent="0.3">
      <c r="A880" t="s">
        <v>312</v>
      </c>
      <c r="B880" s="1">
        <v>45745</v>
      </c>
      <c r="C880" t="s">
        <v>67</v>
      </c>
      <c r="D880" t="s">
        <v>39</v>
      </c>
      <c r="E880" t="s">
        <v>40</v>
      </c>
      <c r="F880" t="s">
        <v>41</v>
      </c>
      <c r="G880" t="s">
        <v>42</v>
      </c>
      <c r="H880" t="s">
        <v>279</v>
      </c>
      <c r="I880" t="s">
        <v>280</v>
      </c>
      <c r="J880" s="2">
        <v>67500</v>
      </c>
      <c r="K880">
        <v>6</v>
      </c>
      <c r="L880" s="2">
        <v>0.1</v>
      </c>
      <c r="M880" s="2">
        <v>17991.23</v>
      </c>
      <c r="N880" t="s">
        <v>114</v>
      </c>
      <c r="O880" t="s">
        <v>36</v>
      </c>
      <c r="P880" t="s">
        <v>47</v>
      </c>
    </row>
    <row r="881" spans="1:16" x14ac:dyDescent="0.3">
      <c r="A881" t="s">
        <v>933</v>
      </c>
      <c r="B881" s="1">
        <v>46077</v>
      </c>
      <c r="C881" t="s">
        <v>146</v>
      </c>
      <c r="D881" t="s">
        <v>68</v>
      </c>
      <c r="E881" t="s">
        <v>69</v>
      </c>
      <c r="F881" t="s">
        <v>41</v>
      </c>
      <c r="G881" t="s">
        <v>21</v>
      </c>
      <c r="H881" t="s">
        <v>179</v>
      </c>
      <c r="I881" t="s">
        <v>180</v>
      </c>
      <c r="J881" s="2">
        <v>7200</v>
      </c>
      <c r="K881">
        <v>3</v>
      </c>
      <c r="L881" s="2">
        <v>0</v>
      </c>
      <c r="M881" s="2">
        <v>1469.22</v>
      </c>
      <c r="N881" t="s">
        <v>114</v>
      </c>
      <c r="O881" t="s">
        <v>86</v>
      </c>
      <c r="P881" t="s">
        <v>47</v>
      </c>
    </row>
    <row r="882" spans="1:16" x14ac:dyDescent="0.3">
      <c r="A882" t="s">
        <v>536</v>
      </c>
      <c r="B882" s="1">
        <v>45855</v>
      </c>
      <c r="C882" t="s">
        <v>537</v>
      </c>
      <c r="D882" t="s">
        <v>82</v>
      </c>
      <c r="E882" t="s">
        <v>83</v>
      </c>
      <c r="F882" t="s">
        <v>52</v>
      </c>
      <c r="G882" t="s">
        <v>61</v>
      </c>
      <c r="H882" t="s">
        <v>62</v>
      </c>
      <c r="I882" t="s">
        <v>70</v>
      </c>
      <c r="J882" s="2">
        <v>10260</v>
      </c>
      <c r="K882">
        <v>6</v>
      </c>
      <c r="L882" s="2">
        <v>0.05</v>
      </c>
      <c r="M882" s="2">
        <v>2112.6799999999998</v>
      </c>
      <c r="N882" t="s">
        <v>45</v>
      </c>
      <c r="O882" t="s">
        <v>86</v>
      </c>
      <c r="P882" t="s">
        <v>55</v>
      </c>
    </row>
    <row r="883" spans="1:16" x14ac:dyDescent="0.3">
      <c r="A883" t="s">
        <v>641</v>
      </c>
      <c r="B883" s="1">
        <v>45902</v>
      </c>
      <c r="C883" t="s">
        <v>642</v>
      </c>
      <c r="D883" t="s">
        <v>82</v>
      </c>
      <c r="E883" t="s">
        <v>83</v>
      </c>
      <c r="F883" t="s">
        <v>52</v>
      </c>
      <c r="G883" t="s">
        <v>21</v>
      </c>
      <c r="H883" t="s">
        <v>179</v>
      </c>
      <c r="I883" t="s">
        <v>180</v>
      </c>
      <c r="J883" s="2">
        <v>12000</v>
      </c>
      <c r="K883">
        <v>5</v>
      </c>
      <c r="L883" s="2">
        <v>0</v>
      </c>
      <c r="M883" s="2">
        <v>2167.36</v>
      </c>
      <c r="N883" t="s">
        <v>24</v>
      </c>
      <c r="O883" t="s">
        <v>71</v>
      </c>
      <c r="P883" t="s">
        <v>47</v>
      </c>
    </row>
    <row r="884" spans="1:16" x14ac:dyDescent="0.3">
      <c r="A884" t="s">
        <v>390</v>
      </c>
      <c r="B884" s="1">
        <v>45778</v>
      </c>
      <c r="C884" t="s">
        <v>207</v>
      </c>
      <c r="D884" t="s">
        <v>39</v>
      </c>
      <c r="E884" t="s">
        <v>40</v>
      </c>
      <c r="F884" t="s">
        <v>41</v>
      </c>
      <c r="G884" t="s">
        <v>76</v>
      </c>
      <c r="H884" t="s">
        <v>122</v>
      </c>
      <c r="I884" t="s">
        <v>123</v>
      </c>
      <c r="J884" s="2">
        <v>7920</v>
      </c>
      <c r="K884">
        <v>4</v>
      </c>
      <c r="L884" s="2">
        <v>0.1</v>
      </c>
      <c r="M884" s="2">
        <v>2020</v>
      </c>
      <c r="N884" t="s">
        <v>64</v>
      </c>
      <c r="O884" t="s">
        <v>79</v>
      </c>
      <c r="P884" t="s">
        <v>26</v>
      </c>
    </row>
    <row r="885" spans="1:16" x14ac:dyDescent="0.3">
      <c r="A885" t="s">
        <v>1225</v>
      </c>
      <c r="B885" s="1">
        <v>46263</v>
      </c>
      <c r="C885" t="s">
        <v>90</v>
      </c>
      <c r="D885" t="s">
        <v>152</v>
      </c>
      <c r="E885" t="s">
        <v>153</v>
      </c>
      <c r="F885" t="s">
        <v>20</v>
      </c>
      <c r="G885" t="s">
        <v>61</v>
      </c>
      <c r="H885" t="s">
        <v>98</v>
      </c>
      <c r="I885" t="s">
        <v>99</v>
      </c>
      <c r="J885" s="2">
        <v>180000</v>
      </c>
      <c r="K885">
        <v>6</v>
      </c>
      <c r="L885" s="2">
        <v>0</v>
      </c>
      <c r="M885" s="2">
        <v>22113.79</v>
      </c>
      <c r="N885" t="s">
        <v>35</v>
      </c>
      <c r="O885" t="s">
        <v>108</v>
      </c>
      <c r="P885" t="s">
        <v>47</v>
      </c>
    </row>
    <row r="886" spans="1:16" x14ac:dyDescent="0.3">
      <c r="A886" t="s">
        <v>483</v>
      </c>
      <c r="B886" s="1">
        <v>45814</v>
      </c>
      <c r="C886" t="s">
        <v>484</v>
      </c>
      <c r="D886" t="s">
        <v>82</v>
      </c>
      <c r="E886" t="s">
        <v>83</v>
      </c>
      <c r="F886" t="s">
        <v>52</v>
      </c>
      <c r="G886" t="s">
        <v>42</v>
      </c>
      <c r="H886" t="s">
        <v>43</v>
      </c>
      <c r="I886" t="s">
        <v>44</v>
      </c>
      <c r="J886" s="2">
        <v>43350</v>
      </c>
      <c r="K886">
        <v>6</v>
      </c>
      <c r="L886" s="2">
        <v>0.15</v>
      </c>
      <c r="M886" s="2">
        <v>4590.12</v>
      </c>
      <c r="N886" t="s">
        <v>114</v>
      </c>
      <c r="O886" t="s">
        <v>71</v>
      </c>
      <c r="P886" t="s">
        <v>26</v>
      </c>
    </row>
    <row r="887" spans="1:16" x14ac:dyDescent="0.3">
      <c r="A887" t="s">
        <v>1289</v>
      </c>
      <c r="B887" s="1">
        <v>46310</v>
      </c>
      <c r="C887" t="s">
        <v>521</v>
      </c>
      <c r="D887" t="s">
        <v>152</v>
      </c>
      <c r="E887" t="s">
        <v>153</v>
      </c>
      <c r="F887" t="s">
        <v>20</v>
      </c>
      <c r="G887" t="s">
        <v>76</v>
      </c>
      <c r="H887" t="s">
        <v>77</v>
      </c>
      <c r="I887" t="s">
        <v>78</v>
      </c>
      <c r="J887" s="2">
        <v>7200</v>
      </c>
      <c r="K887">
        <v>3</v>
      </c>
      <c r="L887" s="2">
        <v>0</v>
      </c>
      <c r="M887" s="2">
        <v>1055.53</v>
      </c>
      <c r="N887" t="s">
        <v>114</v>
      </c>
      <c r="O887" t="s">
        <v>108</v>
      </c>
      <c r="P887" t="s">
        <v>26</v>
      </c>
    </row>
    <row r="888" spans="1:16" x14ac:dyDescent="0.3">
      <c r="A888" t="s">
        <v>897</v>
      </c>
      <c r="B888" s="1">
        <v>46056</v>
      </c>
      <c r="C888" t="s">
        <v>898</v>
      </c>
      <c r="D888" t="s">
        <v>119</v>
      </c>
      <c r="E888" t="s">
        <v>75</v>
      </c>
      <c r="F888" t="s">
        <v>20</v>
      </c>
      <c r="G888" t="s">
        <v>76</v>
      </c>
      <c r="H888" t="s">
        <v>77</v>
      </c>
      <c r="I888" t="s">
        <v>78</v>
      </c>
      <c r="J888" s="2">
        <v>8640</v>
      </c>
      <c r="K888">
        <v>4</v>
      </c>
      <c r="L888" s="2">
        <v>0.1</v>
      </c>
      <c r="M888" s="2">
        <v>1840.26</v>
      </c>
      <c r="N888" t="s">
        <v>24</v>
      </c>
      <c r="O888" t="s">
        <v>71</v>
      </c>
      <c r="P888" t="s">
        <v>55</v>
      </c>
    </row>
    <row r="889" spans="1:16" x14ac:dyDescent="0.3">
      <c r="A889" t="s">
        <v>1214</v>
      </c>
      <c r="B889" s="1">
        <v>46256</v>
      </c>
      <c r="C889" t="s">
        <v>760</v>
      </c>
      <c r="D889" t="s">
        <v>96</v>
      </c>
      <c r="E889" t="s">
        <v>97</v>
      </c>
      <c r="F889" t="s">
        <v>20</v>
      </c>
      <c r="G889" t="s">
        <v>42</v>
      </c>
      <c r="H889" t="s">
        <v>279</v>
      </c>
      <c r="I889" t="s">
        <v>280</v>
      </c>
      <c r="J889" s="2">
        <v>50000</v>
      </c>
      <c r="K889">
        <v>4</v>
      </c>
      <c r="L889" s="2">
        <v>0</v>
      </c>
      <c r="M889" s="2">
        <v>7220.81</v>
      </c>
      <c r="N889" t="s">
        <v>35</v>
      </c>
      <c r="O889" t="s">
        <v>65</v>
      </c>
      <c r="P889" t="s">
        <v>47</v>
      </c>
    </row>
    <row r="890" spans="1:16" x14ac:dyDescent="0.3">
      <c r="A890" t="s">
        <v>1169</v>
      </c>
      <c r="B890" s="1">
        <v>46219</v>
      </c>
      <c r="C890" t="s">
        <v>606</v>
      </c>
      <c r="D890" t="s">
        <v>74</v>
      </c>
      <c r="E890" t="s">
        <v>75</v>
      </c>
      <c r="F890" t="s">
        <v>20</v>
      </c>
      <c r="G890" t="s">
        <v>21</v>
      </c>
      <c r="H890" t="s">
        <v>22</v>
      </c>
      <c r="I890" t="s">
        <v>111</v>
      </c>
      <c r="J890" s="2">
        <v>1620</v>
      </c>
      <c r="K890">
        <v>6</v>
      </c>
      <c r="L890" s="2">
        <v>0.1</v>
      </c>
      <c r="M890" s="2">
        <v>155.26</v>
      </c>
      <c r="N890" t="s">
        <v>35</v>
      </c>
      <c r="O890" t="s">
        <v>86</v>
      </c>
      <c r="P890" t="s">
        <v>47</v>
      </c>
    </row>
    <row r="891" spans="1:16" x14ac:dyDescent="0.3">
      <c r="A891" t="s">
        <v>337</v>
      </c>
      <c r="B891" s="1">
        <v>45752</v>
      </c>
      <c r="C891" t="s">
        <v>338</v>
      </c>
      <c r="D891" t="s">
        <v>96</v>
      </c>
      <c r="E891" t="s">
        <v>97</v>
      </c>
      <c r="F891" t="s">
        <v>20</v>
      </c>
      <c r="G891" t="s">
        <v>61</v>
      </c>
      <c r="H891" t="s">
        <v>62</v>
      </c>
      <c r="I891" t="s">
        <v>63</v>
      </c>
      <c r="J891" s="2">
        <v>3420</v>
      </c>
      <c r="K891">
        <v>4</v>
      </c>
      <c r="L891" s="2">
        <v>0.05</v>
      </c>
      <c r="M891" s="2">
        <v>646.5</v>
      </c>
      <c r="N891" t="s">
        <v>64</v>
      </c>
      <c r="O891" t="s">
        <v>79</v>
      </c>
      <c r="P891" t="s">
        <v>55</v>
      </c>
    </row>
    <row r="892" spans="1:16" x14ac:dyDescent="0.3">
      <c r="A892" t="s">
        <v>443</v>
      </c>
      <c r="B892" s="1">
        <v>45798</v>
      </c>
      <c r="C892" t="s">
        <v>444</v>
      </c>
      <c r="D892" t="s">
        <v>119</v>
      </c>
      <c r="E892" t="s">
        <v>75</v>
      </c>
      <c r="F892" t="s">
        <v>20</v>
      </c>
      <c r="G892" t="s">
        <v>61</v>
      </c>
      <c r="H892" t="s">
        <v>62</v>
      </c>
      <c r="I892" t="s">
        <v>70</v>
      </c>
      <c r="J892" s="2">
        <v>9180</v>
      </c>
      <c r="K892">
        <v>6</v>
      </c>
      <c r="L892" s="2">
        <v>0.15</v>
      </c>
      <c r="M892" s="2">
        <v>1305.9100000000001</v>
      </c>
      <c r="N892" t="s">
        <v>35</v>
      </c>
      <c r="O892" t="s">
        <v>79</v>
      </c>
      <c r="P892" t="s">
        <v>55</v>
      </c>
    </row>
    <row r="893" spans="1:16" x14ac:dyDescent="0.3">
      <c r="A893" t="s">
        <v>1136</v>
      </c>
      <c r="B893" s="1">
        <v>46203</v>
      </c>
      <c r="C893" t="s">
        <v>320</v>
      </c>
      <c r="D893" t="s">
        <v>82</v>
      </c>
      <c r="E893" t="s">
        <v>83</v>
      </c>
      <c r="F893" t="s">
        <v>52</v>
      </c>
      <c r="G893" t="s">
        <v>21</v>
      </c>
      <c r="H893" t="s">
        <v>22</v>
      </c>
      <c r="I893" t="s">
        <v>111</v>
      </c>
      <c r="J893" s="2">
        <v>1200</v>
      </c>
      <c r="K893">
        <v>4</v>
      </c>
      <c r="L893" s="2">
        <v>0</v>
      </c>
      <c r="M893" s="2">
        <v>310.45</v>
      </c>
      <c r="N893" t="s">
        <v>24</v>
      </c>
      <c r="O893" t="s">
        <v>36</v>
      </c>
      <c r="P893" t="s">
        <v>55</v>
      </c>
    </row>
    <row r="894" spans="1:16" x14ac:dyDescent="0.3">
      <c r="A894" t="s">
        <v>1131</v>
      </c>
      <c r="B894" s="1">
        <v>46197</v>
      </c>
      <c r="C894" t="s">
        <v>437</v>
      </c>
      <c r="D894" t="s">
        <v>173</v>
      </c>
      <c r="E894" t="s">
        <v>174</v>
      </c>
      <c r="F894" t="s">
        <v>60</v>
      </c>
      <c r="G894" t="s">
        <v>76</v>
      </c>
      <c r="H894" t="s">
        <v>122</v>
      </c>
      <c r="I894" t="s">
        <v>123</v>
      </c>
      <c r="J894" s="2">
        <v>9350</v>
      </c>
      <c r="K894">
        <v>5</v>
      </c>
      <c r="L894" s="2">
        <v>0.15</v>
      </c>
      <c r="M894" s="2">
        <v>2008.78</v>
      </c>
      <c r="N894" t="s">
        <v>114</v>
      </c>
      <c r="O894" t="s">
        <v>46</v>
      </c>
      <c r="P894" t="s">
        <v>47</v>
      </c>
    </row>
    <row r="895" spans="1:16" x14ac:dyDescent="0.3">
      <c r="A895" t="s">
        <v>1079</v>
      </c>
      <c r="B895" s="1">
        <v>46159</v>
      </c>
      <c r="C895" t="s">
        <v>501</v>
      </c>
      <c r="D895" t="s">
        <v>152</v>
      </c>
      <c r="E895" t="s">
        <v>153</v>
      </c>
      <c r="F895" t="s">
        <v>20</v>
      </c>
      <c r="G895" t="s">
        <v>42</v>
      </c>
      <c r="H895" t="s">
        <v>53</v>
      </c>
      <c r="I895" t="s">
        <v>120</v>
      </c>
      <c r="J895" s="2">
        <v>16800</v>
      </c>
      <c r="K895">
        <v>4</v>
      </c>
      <c r="L895" s="2">
        <v>0</v>
      </c>
      <c r="M895" s="2">
        <v>3232.26</v>
      </c>
      <c r="N895" t="s">
        <v>45</v>
      </c>
      <c r="O895" t="s">
        <v>36</v>
      </c>
      <c r="P895" t="s">
        <v>55</v>
      </c>
    </row>
    <row r="896" spans="1:16" x14ac:dyDescent="0.3">
      <c r="A896" t="s">
        <v>467</v>
      </c>
      <c r="B896" s="1">
        <v>45807</v>
      </c>
      <c r="C896" t="s">
        <v>276</v>
      </c>
      <c r="D896" t="s">
        <v>58</v>
      </c>
      <c r="E896" t="s">
        <v>59</v>
      </c>
      <c r="F896" t="s">
        <v>60</v>
      </c>
      <c r="G896" t="s">
        <v>76</v>
      </c>
      <c r="H896" t="s">
        <v>77</v>
      </c>
      <c r="I896" t="s">
        <v>171</v>
      </c>
      <c r="J896" s="2">
        <v>6800</v>
      </c>
      <c r="K896">
        <v>5</v>
      </c>
      <c r="L896" s="2">
        <v>0.15</v>
      </c>
      <c r="M896" s="2">
        <v>1196.93</v>
      </c>
      <c r="N896" t="s">
        <v>64</v>
      </c>
      <c r="O896" t="s">
        <v>65</v>
      </c>
      <c r="P896" t="s">
        <v>26</v>
      </c>
    </row>
    <row r="897" spans="1:16" x14ac:dyDescent="0.3">
      <c r="A897" t="s">
        <v>273</v>
      </c>
      <c r="B897" s="1">
        <v>45734</v>
      </c>
      <c r="C897" t="s">
        <v>274</v>
      </c>
      <c r="D897" t="s">
        <v>96</v>
      </c>
      <c r="E897" t="s">
        <v>97</v>
      </c>
      <c r="F897" t="s">
        <v>20</v>
      </c>
      <c r="G897" t="s">
        <v>32</v>
      </c>
      <c r="H897" t="s">
        <v>92</v>
      </c>
      <c r="I897" t="s">
        <v>93</v>
      </c>
      <c r="J897" s="2">
        <v>54625</v>
      </c>
      <c r="K897">
        <v>5</v>
      </c>
      <c r="L897" s="2">
        <v>0.05</v>
      </c>
      <c r="M897" s="2">
        <v>10199.620000000001</v>
      </c>
      <c r="N897" t="s">
        <v>24</v>
      </c>
      <c r="O897" t="s">
        <v>36</v>
      </c>
      <c r="P897" t="s">
        <v>26</v>
      </c>
    </row>
    <row r="898" spans="1:16" x14ac:dyDescent="0.3">
      <c r="A898" t="s">
        <v>850</v>
      </c>
      <c r="B898" s="1">
        <v>46030</v>
      </c>
      <c r="C898" t="s">
        <v>851</v>
      </c>
      <c r="D898" t="s">
        <v>18</v>
      </c>
      <c r="E898" t="s">
        <v>19</v>
      </c>
      <c r="F898" t="s">
        <v>20</v>
      </c>
      <c r="G898" t="s">
        <v>21</v>
      </c>
      <c r="H898" t="s">
        <v>179</v>
      </c>
      <c r="I898" t="s">
        <v>180</v>
      </c>
      <c r="J898" s="2">
        <v>8640</v>
      </c>
      <c r="K898">
        <v>4</v>
      </c>
      <c r="L898" s="2">
        <v>0.1</v>
      </c>
      <c r="M898" s="2">
        <v>1216.3599999999999</v>
      </c>
      <c r="N898" t="s">
        <v>64</v>
      </c>
      <c r="O898" t="s">
        <v>135</v>
      </c>
      <c r="P898" t="s">
        <v>26</v>
      </c>
    </row>
    <row r="899" spans="1:16" x14ac:dyDescent="0.3">
      <c r="A899" t="s">
        <v>512</v>
      </c>
      <c r="B899" s="1">
        <v>45837</v>
      </c>
      <c r="C899" t="s">
        <v>113</v>
      </c>
      <c r="D899" t="s">
        <v>134</v>
      </c>
      <c r="E899" t="s">
        <v>75</v>
      </c>
      <c r="F899" t="s">
        <v>20</v>
      </c>
      <c r="G899" t="s">
        <v>21</v>
      </c>
      <c r="H899" t="s">
        <v>175</v>
      </c>
      <c r="I899" t="s">
        <v>176</v>
      </c>
      <c r="J899" s="2">
        <v>2080</v>
      </c>
      <c r="K899">
        <v>4</v>
      </c>
      <c r="L899" s="2">
        <v>0.2</v>
      </c>
      <c r="M899" s="2">
        <v>459.01</v>
      </c>
      <c r="N899" t="s">
        <v>24</v>
      </c>
      <c r="O899" t="s">
        <v>25</v>
      </c>
      <c r="P899" t="s">
        <v>26</v>
      </c>
    </row>
    <row r="900" spans="1:16" x14ac:dyDescent="0.3">
      <c r="A900" t="s">
        <v>486</v>
      </c>
      <c r="B900" s="1">
        <v>45818</v>
      </c>
      <c r="C900" t="s">
        <v>454</v>
      </c>
      <c r="D900" t="s">
        <v>96</v>
      </c>
      <c r="E900" t="s">
        <v>97</v>
      </c>
      <c r="F900" t="s">
        <v>20</v>
      </c>
      <c r="G900" t="s">
        <v>21</v>
      </c>
      <c r="H900" t="s">
        <v>22</v>
      </c>
      <c r="I900" t="s">
        <v>23</v>
      </c>
      <c r="J900" s="2">
        <v>427.5</v>
      </c>
      <c r="K900">
        <v>1</v>
      </c>
      <c r="L900" s="2">
        <v>0.05</v>
      </c>
      <c r="M900" s="2">
        <v>46.69</v>
      </c>
      <c r="N900" t="s">
        <v>64</v>
      </c>
      <c r="O900" t="s">
        <v>36</v>
      </c>
      <c r="P900" t="s">
        <v>55</v>
      </c>
    </row>
    <row r="901" spans="1:16" x14ac:dyDescent="0.3">
      <c r="A901" t="s">
        <v>1041</v>
      </c>
      <c r="B901" s="1">
        <v>46140</v>
      </c>
      <c r="C901" t="s">
        <v>716</v>
      </c>
      <c r="D901" t="s">
        <v>119</v>
      </c>
      <c r="E901" t="s">
        <v>75</v>
      </c>
      <c r="F901" t="s">
        <v>20</v>
      </c>
      <c r="G901" t="s">
        <v>76</v>
      </c>
      <c r="H901" t="s">
        <v>122</v>
      </c>
      <c r="I901" t="s">
        <v>217</v>
      </c>
      <c r="J901" s="2">
        <v>4590</v>
      </c>
      <c r="K901">
        <v>3</v>
      </c>
      <c r="L901" s="2">
        <v>0.15</v>
      </c>
      <c r="M901" s="2">
        <v>857.8</v>
      </c>
      <c r="N901" t="s">
        <v>45</v>
      </c>
      <c r="O901" t="s">
        <v>135</v>
      </c>
      <c r="P901" t="s">
        <v>55</v>
      </c>
    </row>
    <row r="902" spans="1:16" x14ac:dyDescent="0.3">
      <c r="A902" t="s">
        <v>668</v>
      </c>
      <c r="B902" s="1">
        <v>45920</v>
      </c>
      <c r="C902" t="s">
        <v>464</v>
      </c>
      <c r="D902" t="s">
        <v>134</v>
      </c>
      <c r="E902" t="s">
        <v>75</v>
      </c>
      <c r="F902" t="s">
        <v>20</v>
      </c>
      <c r="G902" t="s">
        <v>32</v>
      </c>
      <c r="H902" t="s">
        <v>92</v>
      </c>
      <c r="I902" t="s">
        <v>93</v>
      </c>
      <c r="J902" s="2">
        <v>32775</v>
      </c>
      <c r="K902">
        <v>3</v>
      </c>
      <c r="L902" s="2">
        <v>0.05</v>
      </c>
      <c r="M902" s="2">
        <v>6220.29</v>
      </c>
      <c r="N902" t="s">
        <v>35</v>
      </c>
      <c r="O902" t="s">
        <v>65</v>
      </c>
      <c r="P902" t="s">
        <v>47</v>
      </c>
    </row>
    <row r="903" spans="1:16" x14ac:dyDescent="0.3">
      <c r="A903" t="s">
        <v>290</v>
      </c>
      <c r="B903" s="1">
        <v>45738</v>
      </c>
      <c r="C903" t="s">
        <v>213</v>
      </c>
      <c r="D903" t="s">
        <v>58</v>
      </c>
      <c r="E903" t="s">
        <v>59</v>
      </c>
      <c r="F903" t="s">
        <v>60</v>
      </c>
      <c r="G903" t="s">
        <v>32</v>
      </c>
      <c r="H903" t="s">
        <v>84</v>
      </c>
      <c r="I903" t="s">
        <v>140</v>
      </c>
      <c r="J903" s="2">
        <v>33750</v>
      </c>
      <c r="K903">
        <v>5</v>
      </c>
      <c r="L903" s="2">
        <v>0.1</v>
      </c>
      <c r="M903" s="2">
        <v>7352</v>
      </c>
      <c r="N903" t="s">
        <v>35</v>
      </c>
      <c r="O903" t="s">
        <v>25</v>
      </c>
      <c r="P903" t="s">
        <v>47</v>
      </c>
    </row>
    <row r="904" spans="1:16" x14ac:dyDescent="0.3">
      <c r="A904" t="s">
        <v>1006</v>
      </c>
      <c r="B904" s="1">
        <v>46126</v>
      </c>
      <c r="C904" t="s">
        <v>236</v>
      </c>
      <c r="D904" t="s">
        <v>18</v>
      </c>
      <c r="E904" t="s">
        <v>19</v>
      </c>
      <c r="F904" t="s">
        <v>20</v>
      </c>
      <c r="G904" t="s">
        <v>32</v>
      </c>
      <c r="H904" t="s">
        <v>92</v>
      </c>
      <c r="I904" t="s">
        <v>93</v>
      </c>
      <c r="J904" s="2">
        <v>21850</v>
      </c>
      <c r="K904">
        <v>2</v>
      </c>
      <c r="L904" s="2">
        <v>0.05</v>
      </c>
      <c r="M904" s="2">
        <v>4540.66</v>
      </c>
      <c r="N904" t="s">
        <v>35</v>
      </c>
      <c r="O904" t="s">
        <v>86</v>
      </c>
      <c r="P904" t="s">
        <v>47</v>
      </c>
    </row>
    <row r="905" spans="1:16" x14ac:dyDescent="0.3">
      <c r="A905" t="s">
        <v>917</v>
      </c>
      <c r="B905" s="1">
        <v>46064</v>
      </c>
      <c r="C905" t="s">
        <v>322</v>
      </c>
      <c r="D905" t="s">
        <v>29</v>
      </c>
      <c r="E905" t="s">
        <v>30</v>
      </c>
      <c r="F905" t="s">
        <v>31</v>
      </c>
      <c r="G905" t="s">
        <v>21</v>
      </c>
      <c r="H905" t="s">
        <v>22</v>
      </c>
      <c r="I905" t="s">
        <v>111</v>
      </c>
      <c r="J905" s="2">
        <v>1710</v>
      </c>
      <c r="K905">
        <v>6</v>
      </c>
      <c r="L905" s="2">
        <v>0.05</v>
      </c>
      <c r="M905" s="2">
        <v>321.24</v>
      </c>
      <c r="N905" t="s">
        <v>45</v>
      </c>
      <c r="O905" t="s">
        <v>46</v>
      </c>
      <c r="P905" t="s">
        <v>55</v>
      </c>
    </row>
    <row r="906" spans="1:16" x14ac:dyDescent="0.3">
      <c r="A906" t="s">
        <v>1077</v>
      </c>
      <c r="B906" s="1">
        <v>46159</v>
      </c>
      <c r="C906" t="s">
        <v>213</v>
      </c>
      <c r="D906" t="s">
        <v>104</v>
      </c>
      <c r="E906" t="s">
        <v>83</v>
      </c>
      <c r="F906" t="s">
        <v>52</v>
      </c>
      <c r="G906" t="s">
        <v>42</v>
      </c>
      <c r="H906" t="s">
        <v>43</v>
      </c>
      <c r="I906" t="s">
        <v>44</v>
      </c>
      <c r="J906" s="2">
        <v>30600</v>
      </c>
      <c r="K906">
        <v>4</v>
      </c>
      <c r="L906" s="2">
        <v>0.1</v>
      </c>
      <c r="M906" s="2">
        <v>3132.13</v>
      </c>
      <c r="N906" t="s">
        <v>45</v>
      </c>
      <c r="O906" t="s">
        <v>36</v>
      </c>
      <c r="P906" t="s">
        <v>55</v>
      </c>
    </row>
    <row r="907" spans="1:16" x14ac:dyDescent="0.3">
      <c r="A907" t="s">
        <v>729</v>
      </c>
      <c r="B907" s="1">
        <v>45947</v>
      </c>
      <c r="C907" t="s">
        <v>462</v>
      </c>
      <c r="D907" t="s">
        <v>166</v>
      </c>
      <c r="E907" t="s">
        <v>75</v>
      </c>
      <c r="F907" t="s">
        <v>20</v>
      </c>
      <c r="G907" t="s">
        <v>61</v>
      </c>
      <c r="H907" t="s">
        <v>62</v>
      </c>
      <c r="I907" t="s">
        <v>63</v>
      </c>
      <c r="J907" s="2">
        <v>4500</v>
      </c>
      <c r="K907">
        <v>5</v>
      </c>
      <c r="L907" s="2">
        <v>0</v>
      </c>
      <c r="M907" s="2">
        <v>954.11</v>
      </c>
      <c r="N907" t="s">
        <v>64</v>
      </c>
      <c r="O907" t="s">
        <v>36</v>
      </c>
      <c r="P907" t="s">
        <v>26</v>
      </c>
    </row>
    <row r="908" spans="1:16" x14ac:dyDescent="0.3">
      <c r="A908" t="s">
        <v>860</v>
      </c>
      <c r="B908" s="1">
        <v>46034</v>
      </c>
      <c r="C908" t="s">
        <v>426</v>
      </c>
      <c r="D908" t="s">
        <v>152</v>
      </c>
      <c r="E908" t="s">
        <v>153</v>
      </c>
      <c r="F908" t="s">
        <v>20</v>
      </c>
      <c r="G908" t="s">
        <v>42</v>
      </c>
      <c r="H908" t="s">
        <v>53</v>
      </c>
      <c r="I908" t="s">
        <v>120</v>
      </c>
      <c r="J908" s="2">
        <v>7560</v>
      </c>
      <c r="K908">
        <v>2</v>
      </c>
      <c r="L908" s="2">
        <v>0.1</v>
      </c>
      <c r="M908" s="2">
        <v>1178.51</v>
      </c>
      <c r="N908" t="s">
        <v>114</v>
      </c>
      <c r="O908" t="s">
        <v>135</v>
      </c>
      <c r="P908" t="s">
        <v>26</v>
      </c>
    </row>
    <row r="909" spans="1:16" x14ac:dyDescent="0.3">
      <c r="A909" t="s">
        <v>1251</v>
      </c>
      <c r="B909" s="1">
        <v>46285</v>
      </c>
      <c r="C909" t="s">
        <v>414</v>
      </c>
      <c r="D909" t="s">
        <v>18</v>
      </c>
      <c r="E909" t="s">
        <v>19</v>
      </c>
      <c r="F909" t="s">
        <v>20</v>
      </c>
      <c r="G909" t="s">
        <v>32</v>
      </c>
      <c r="H909" t="s">
        <v>92</v>
      </c>
      <c r="I909" t="s">
        <v>93</v>
      </c>
      <c r="J909" s="2">
        <v>51750</v>
      </c>
      <c r="K909">
        <v>5</v>
      </c>
      <c r="L909" s="2">
        <v>0.1</v>
      </c>
      <c r="M909" s="2">
        <v>10883.06</v>
      </c>
      <c r="N909" t="s">
        <v>24</v>
      </c>
      <c r="O909" t="s">
        <v>135</v>
      </c>
      <c r="P909" t="s">
        <v>55</v>
      </c>
    </row>
    <row r="910" spans="1:16" x14ac:dyDescent="0.3">
      <c r="A910" t="s">
        <v>643</v>
      </c>
      <c r="B910" s="1">
        <v>45904</v>
      </c>
      <c r="C910" t="s">
        <v>118</v>
      </c>
      <c r="D910" t="s">
        <v>58</v>
      </c>
      <c r="E910" t="s">
        <v>59</v>
      </c>
      <c r="F910" t="s">
        <v>60</v>
      </c>
      <c r="G910" t="s">
        <v>61</v>
      </c>
      <c r="H910" t="s">
        <v>128</v>
      </c>
      <c r="I910" t="s">
        <v>195</v>
      </c>
      <c r="J910" s="2">
        <v>49300</v>
      </c>
      <c r="K910">
        <v>1</v>
      </c>
      <c r="L910" s="2">
        <v>0.15</v>
      </c>
      <c r="M910" s="2">
        <v>7477.04</v>
      </c>
      <c r="N910" t="s">
        <v>24</v>
      </c>
      <c r="O910" t="s">
        <v>46</v>
      </c>
      <c r="P910" t="s">
        <v>55</v>
      </c>
    </row>
    <row r="911" spans="1:16" x14ac:dyDescent="0.3">
      <c r="A911" t="s">
        <v>741</v>
      </c>
      <c r="B911" s="1">
        <v>45960</v>
      </c>
      <c r="C911" t="s">
        <v>247</v>
      </c>
      <c r="D911" t="s">
        <v>74</v>
      </c>
      <c r="E911" t="s">
        <v>75</v>
      </c>
      <c r="F911" t="s">
        <v>20</v>
      </c>
      <c r="G911" t="s">
        <v>61</v>
      </c>
      <c r="H911" t="s">
        <v>98</v>
      </c>
      <c r="I911" t="s">
        <v>156</v>
      </c>
      <c r="J911" s="2">
        <v>216600</v>
      </c>
      <c r="K911">
        <v>6</v>
      </c>
      <c r="L911" s="2">
        <v>0.05</v>
      </c>
      <c r="M911" s="2">
        <v>44083.67</v>
      </c>
      <c r="N911" t="s">
        <v>64</v>
      </c>
      <c r="O911" t="s">
        <v>46</v>
      </c>
      <c r="P911" t="s">
        <v>26</v>
      </c>
    </row>
    <row r="912" spans="1:16" x14ac:dyDescent="0.3">
      <c r="A912" t="s">
        <v>1378</v>
      </c>
      <c r="B912" s="1">
        <v>46378</v>
      </c>
      <c r="C912" t="s">
        <v>101</v>
      </c>
      <c r="D912" t="s">
        <v>29</v>
      </c>
      <c r="E912" t="s">
        <v>30</v>
      </c>
      <c r="F912" t="s">
        <v>31</v>
      </c>
      <c r="G912" t="s">
        <v>32</v>
      </c>
      <c r="H912" t="s">
        <v>84</v>
      </c>
      <c r="I912" t="s">
        <v>140</v>
      </c>
      <c r="J912" s="2">
        <v>21375</v>
      </c>
      <c r="K912">
        <v>3</v>
      </c>
      <c r="L912" s="2">
        <v>0.05</v>
      </c>
      <c r="M912" s="2">
        <v>4150.33</v>
      </c>
      <c r="N912" t="s">
        <v>114</v>
      </c>
      <c r="O912" t="s">
        <v>46</v>
      </c>
      <c r="P912" t="s">
        <v>47</v>
      </c>
    </row>
    <row r="913" spans="1:16" x14ac:dyDescent="0.3">
      <c r="A913" t="s">
        <v>149</v>
      </c>
      <c r="B913" s="1">
        <v>45684</v>
      </c>
      <c r="C913" t="s">
        <v>49</v>
      </c>
      <c r="D913" t="s">
        <v>134</v>
      </c>
      <c r="E913" t="s">
        <v>75</v>
      </c>
      <c r="F913" t="s">
        <v>20</v>
      </c>
      <c r="G913" t="s">
        <v>61</v>
      </c>
      <c r="H913" t="s">
        <v>98</v>
      </c>
      <c r="I913" t="s">
        <v>99</v>
      </c>
      <c r="J913" s="2">
        <v>25500</v>
      </c>
      <c r="K913">
        <v>1</v>
      </c>
      <c r="L913" s="2">
        <v>0.15</v>
      </c>
      <c r="M913" s="2">
        <v>3968.22</v>
      </c>
      <c r="N913" t="s">
        <v>24</v>
      </c>
      <c r="O913" t="s">
        <v>108</v>
      </c>
      <c r="P913" t="s">
        <v>47</v>
      </c>
    </row>
    <row r="914" spans="1:16" x14ac:dyDescent="0.3">
      <c r="A914" t="s">
        <v>612</v>
      </c>
      <c r="B914" s="1">
        <v>45886</v>
      </c>
      <c r="C914" t="s">
        <v>329</v>
      </c>
      <c r="D914" t="s">
        <v>58</v>
      </c>
      <c r="E914" t="s">
        <v>59</v>
      </c>
      <c r="F914" t="s">
        <v>60</v>
      </c>
      <c r="G914" t="s">
        <v>76</v>
      </c>
      <c r="H914" t="s">
        <v>122</v>
      </c>
      <c r="I914" t="s">
        <v>217</v>
      </c>
      <c r="J914" s="2">
        <v>8100</v>
      </c>
      <c r="K914">
        <v>5</v>
      </c>
      <c r="L914" s="2">
        <v>0.1</v>
      </c>
      <c r="M914" s="2">
        <v>1244.6300000000001</v>
      </c>
      <c r="N914" t="s">
        <v>64</v>
      </c>
      <c r="O914" t="s">
        <v>108</v>
      </c>
      <c r="P914" t="s">
        <v>47</v>
      </c>
    </row>
    <row r="915" spans="1:16" x14ac:dyDescent="0.3">
      <c r="A915" t="s">
        <v>584</v>
      </c>
      <c r="B915" s="1">
        <v>45874</v>
      </c>
      <c r="C915" t="s">
        <v>192</v>
      </c>
      <c r="D915" t="s">
        <v>58</v>
      </c>
      <c r="E915" t="s">
        <v>59</v>
      </c>
      <c r="F915" t="s">
        <v>60</v>
      </c>
      <c r="G915" t="s">
        <v>42</v>
      </c>
      <c r="H915" t="s">
        <v>279</v>
      </c>
      <c r="I915" t="s">
        <v>280</v>
      </c>
      <c r="J915" s="2">
        <v>59375</v>
      </c>
      <c r="K915">
        <v>5</v>
      </c>
      <c r="L915" s="2">
        <v>0.05</v>
      </c>
      <c r="M915" s="2">
        <v>12330.4</v>
      </c>
      <c r="N915" t="s">
        <v>114</v>
      </c>
      <c r="O915" t="s">
        <v>71</v>
      </c>
      <c r="P915" t="s">
        <v>26</v>
      </c>
    </row>
    <row r="916" spans="1:16" x14ac:dyDescent="0.3">
      <c r="A916" t="s">
        <v>1000</v>
      </c>
      <c r="B916" s="1">
        <v>46122</v>
      </c>
      <c r="C916" t="s">
        <v>961</v>
      </c>
      <c r="D916" t="s">
        <v>82</v>
      </c>
      <c r="E916" t="s">
        <v>83</v>
      </c>
      <c r="F916" t="s">
        <v>52</v>
      </c>
      <c r="G916" t="s">
        <v>21</v>
      </c>
      <c r="H916" t="s">
        <v>179</v>
      </c>
      <c r="I916" t="s">
        <v>180</v>
      </c>
      <c r="J916" s="2">
        <v>13680</v>
      </c>
      <c r="K916">
        <v>6</v>
      </c>
      <c r="L916" s="2">
        <v>0.05</v>
      </c>
      <c r="M916" s="2">
        <v>3630.67</v>
      </c>
      <c r="N916" t="s">
        <v>64</v>
      </c>
      <c r="O916" t="s">
        <v>105</v>
      </c>
      <c r="P916" t="s">
        <v>55</v>
      </c>
    </row>
    <row r="917" spans="1:16" x14ac:dyDescent="0.3">
      <c r="A917" t="s">
        <v>1392</v>
      </c>
      <c r="B917" s="1">
        <v>46387</v>
      </c>
      <c r="C917" t="s">
        <v>396</v>
      </c>
      <c r="D917" t="s">
        <v>173</v>
      </c>
      <c r="E917" t="s">
        <v>174</v>
      </c>
      <c r="F917" t="s">
        <v>60</v>
      </c>
      <c r="G917" t="s">
        <v>76</v>
      </c>
      <c r="H917" t="s">
        <v>122</v>
      </c>
      <c r="I917" t="s">
        <v>123</v>
      </c>
      <c r="J917" s="2">
        <v>13200</v>
      </c>
      <c r="K917">
        <v>6</v>
      </c>
      <c r="L917" s="2">
        <v>0</v>
      </c>
      <c r="M917" s="2">
        <v>1779.14</v>
      </c>
      <c r="N917" t="s">
        <v>114</v>
      </c>
      <c r="O917" t="s">
        <v>135</v>
      </c>
      <c r="P917" t="s">
        <v>26</v>
      </c>
    </row>
    <row r="918" spans="1:16" x14ac:dyDescent="0.3">
      <c r="A918" t="s">
        <v>1248</v>
      </c>
      <c r="B918" s="1">
        <v>46284</v>
      </c>
      <c r="C918" t="s">
        <v>853</v>
      </c>
      <c r="D918" t="s">
        <v>91</v>
      </c>
      <c r="E918" t="s">
        <v>91</v>
      </c>
      <c r="F918" t="s">
        <v>60</v>
      </c>
      <c r="G918" t="s">
        <v>32</v>
      </c>
      <c r="H918" t="s">
        <v>92</v>
      </c>
      <c r="I918" t="s">
        <v>93</v>
      </c>
      <c r="J918" s="2">
        <v>20700</v>
      </c>
      <c r="K918">
        <v>2</v>
      </c>
      <c r="L918" s="2">
        <v>0.1</v>
      </c>
      <c r="M918" s="2">
        <v>4309.96</v>
      </c>
      <c r="N918" t="s">
        <v>64</v>
      </c>
      <c r="O918" t="s">
        <v>25</v>
      </c>
      <c r="P918" t="s">
        <v>26</v>
      </c>
    </row>
    <row r="919" spans="1:16" x14ac:dyDescent="0.3">
      <c r="A919" t="s">
        <v>648</v>
      </c>
      <c r="B919" s="1">
        <v>45905</v>
      </c>
      <c r="C919" t="s">
        <v>649</v>
      </c>
      <c r="D919" t="s">
        <v>29</v>
      </c>
      <c r="E919" t="s">
        <v>30</v>
      </c>
      <c r="F919" t="s">
        <v>31</v>
      </c>
      <c r="G919" t="s">
        <v>76</v>
      </c>
      <c r="H919" t="s">
        <v>122</v>
      </c>
      <c r="I919" t="s">
        <v>123</v>
      </c>
      <c r="J919" s="2">
        <v>7480</v>
      </c>
      <c r="K919">
        <v>4</v>
      </c>
      <c r="L919" s="2">
        <v>0.15</v>
      </c>
      <c r="M919" s="2">
        <v>1238.73</v>
      </c>
      <c r="N919" t="s">
        <v>24</v>
      </c>
      <c r="O919" t="s">
        <v>135</v>
      </c>
      <c r="P919" t="s">
        <v>47</v>
      </c>
    </row>
    <row r="920" spans="1:16" x14ac:dyDescent="0.3">
      <c r="A920" t="s">
        <v>1074</v>
      </c>
      <c r="B920" s="1">
        <v>46158</v>
      </c>
      <c r="C920" t="s">
        <v>265</v>
      </c>
      <c r="D920" t="s">
        <v>119</v>
      </c>
      <c r="E920" t="s">
        <v>75</v>
      </c>
      <c r="F920" t="s">
        <v>20</v>
      </c>
      <c r="G920" t="s">
        <v>32</v>
      </c>
      <c r="H920" t="s">
        <v>33</v>
      </c>
      <c r="I920" t="s">
        <v>34</v>
      </c>
      <c r="J920" s="2">
        <v>22320</v>
      </c>
      <c r="K920">
        <v>4</v>
      </c>
      <c r="L920" s="2">
        <v>0.1</v>
      </c>
      <c r="M920" s="2">
        <v>3592.16</v>
      </c>
      <c r="N920" t="s">
        <v>45</v>
      </c>
      <c r="O920" t="s">
        <v>79</v>
      </c>
      <c r="P920" t="s">
        <v>55</v>
      </c>
    </row>
    <row r="921" spans="1:16" x14ac:dyDescent="0.3">
      <c r="A921" t="s">
        <v>724</v>
      </c>
      <c r="B921" s="1">
        <v>45945</v>
      </c>
      <c r="C921" t="s">
        <v>725</v>
      </c>
      <c r="D921" t="s">
        <v>74</v>
      </c>
      <c r="E921" t="s">
        <v>75</v>
      </c>
      <c r="F921" t="s">
        <v>20</v>
      </c>
      <c r="G921" t="s">
        <v>21</v>
      </c>
      <c r="H921" t="s">
        <v>22</v>
      </c>
      <c r="I921" t="s">
        <v>23</v>
      </c>
      <c r="J921" s="2">
        <v>765</v>
      </c>
      <c r="K921">
        <v>2</v>
      </c>
      <c r="L921" s="2">
        <v>0.15</v>
      </c>
      <c r="M921" s="2">
        <v>60.69</v>
      </c>
      <c r="N921" t="s">
        <v>45</v>
      </c>
      <c r="O921" t="s">
        <v>135</v>
      </c>
      <c r="P921" t="s">
        <v>47</v>
      </c>
    </row>
    <row r="922" spans="1:16" x14ac:dyDescent="0.3">
      <c r="A922" t="s">
        <v>1352</v>
      </c>
      <c r="B922" s="1">
        <v>46351</v>
      </c>
      <c r="C922" t="s">
        <v>356</v>
      </c>
      <c r="D922" t="s">
        <v>18</v>
      </c>
      <c r="E922" t="s">
        <v>19</v>
      </c>
      <c r="F922" t="s">
        <v>20</v>
      </c>
      <c r="G922" t="s">
        <v>42</v>
      </c>
      <c r="H922" t="s">
        <v>279</v>
      </c>
      <c r="I922" t="s">
        <v>280</v>
      </c>
      <c r="J922" s="2">
        <v>67500</v>
      </c>
      <c r="K922">
        <v>6</v>
      </c>
      <c r="L922" s="2">
        <v>0.1</v>
      </c>
      <c r="M922" s="2">
        <v>10164.92</v>
      </c>
      <c r="N922" t="s">
        <v>45</v>
      </c>
      <c r="O922" t="s">
        <v>79</v>
      </c>
      <c r="P922" t="s">
        <v>55</v>
      </c>
    </row>
    <row r="923" spans="1:16" x14ac:dyDescent="0.3">
      <c r="A923" t="s">
        <v>1015</v>
      </c>
      <c r="B923" s="1">
        <v>46129</v>
      </c>
      <c r="C923" t="s">
        <v>961</v>
      </c>
      <c r="D923" t="s">
        <v>91</v>
      </c>
      <c r="E923" t="s">
        <v>91</v>
      </c>
      <c r="F923" t="s">
        <v>60</v>
      </c>
      <c r="G923" t="s">
        <v>61</v>
      </c>
      <c r="H923" t="s">
        <v>98</v>
      </c>
      <c r="I923" t="s">
        <v>156</v>
      </c>
      <c r="J923" s="2">
        <v>96900</v>
      </c>
      <c r="K923">
        <v>3</v>
      </c>
      <c r="L923" s="2">
        <v>0.15</v>
      </c>
      <c r="M923" s="2">
        <v>11276.3</v>
      </c>
      <c r="N923" t="s">
        <v>24</v>
      </c>
      <c r="O923" t="s">
        <v>105</v>
      </c>
      <c r="P923" t="s">
        <v>47</v>
      </c>
    </row>
    <row r="924" spans="1:16" x14ac:dyDescent="0.3">
      <c r="A924" t="s">
        <v>1267</v>
      </c>
      <c r="B924" s="1">
        <v>46294</v>
      </c>
      <c r="C924" t="s">
        <v>168</v>
      </c>
      <c r="D924" t="s">
        <v>39</v>
      </c>
      <c r="E924" t="s">
        <v>40</v>
      </c>
      <c r="F924" t="s">
        <v>41</v>
      </c>
      <c r="G924" t="s">
        <v>42</v>
      </c>
      <c r="H924" t="s">
        <v>43</v>
      </c>
      <c r="I924" t="s">
        <v>44</v>
      </c>
      <c r="J924" s="2">
        <v>51000</v>
      </c>
      <c r="K924">
        <v>6</v>
      </c>
      <c r="L924" s="2">
        <v>0</v>
      </c>
      <c r="M924" s="2">
        <v>6497.2</v>
      </c>
      <c r="N924" t="s">
        <v>114</v>
      </c>
      <c r="O924" t="s">
        <v>36</v>
      </c>
      <c r="P924" t="s">
        <v>55</v>
      </c>
    </row>
    <row r="925" spans="1:16" x14ac:dyDescent="0.3">
      <c r="A925" t="s">
        <v>1149</v>
      </c>
      <c r="B925" s="1">
        <v>46207</v>
      </c>
      <c r="C925" t="s">
        <v>402</v>
      </c>
      <c r="D925" t="s">
        <v>18</v>
      </c>
      <c r="E925" t="s">
        <v>19</v>
      </c>
      <c r="F925" t="s">
        <v>20</v>
      </c>
      <c r="G925" t="s">
        <v>32</v>
      </c>
      <c r="H925" t="s">
        <v>33</v>
      </c>
      <c r="I925" t="s">
        <v>34</v>
      </c>
      <c r="J925" s="2">
        <v>23560</v>
      </c>
      <c r="K925">
        <v>4</v>
      </c>
      <c r="L925" s="2">
        <v>0.05</v>
      </c>
      <c r="M925" s="2">
        <v>5540.17</v>
      </c>
      <c r="N925" t="s">
        <v>64</v>
      </c>
      <c r="O925" t="s">
        <v>86</v>
      </c>
      <c r="P925" t="s">
        <v>47</v>
      </c>
    </row>
    <row r="926" spans="1:16" x14ac:dyDescent="0.3">
      <c r="A926" t="s">
        <v>401</v>
      </c>
      <c r="B926" s="1">
        <v>45785</v>
      </c>
      <c r="C926" t="s">
        <v>402</v>
      </c>
      <c r="D926" t="s">
        <v>134</v>
      </c>
      <c r="E926" t="s">
        <v>75</v>
      </c>
      <c r="F926" t="s">
        <v>20</v>
      </c>
      <c r="G926" t="s">
        <v>21</v>
      </c>
      <c r="H926" t="s">
        <v>179</v>
      </c>
      <c r="I926" t="s">
        <v>180</v>
      </c>
      <c r="J926" s="2">
        <v>6480</v>
      </c>
      <c r="K926">
        <v>3</v>
      </c>
      <c r="L926" s="2">
        <v>0.1</v>
      </c>
      <c r="M926" s="2">
        <v>1254.2</v>
      </c>
      <c r="N926" t="s">
        <v>114</v>
      </c>
      <c r="O926" t="s">
        <v>105</v>
      </c>
      <c r="P926" t="s">
        <v>47</v>
      </c>
    </row>
    <row r="927" spans="1:16" x14ac:dyDescent="0.3">
      <c r="A927" t="s">
        <v>644</v>
      </c>
      <c r="B927" s="1">
        <v>45905</v>
      </c>
      <c r="C927" t="s">
        <v>645</v>
      </c>
      <c r="D927" t="s">
        <v>173</v>
      </c>
      <c r="E927" t="s">
        <v>174</v>
      </c>
      <c r="F927" t="s">
        <v>60</v>
      </c>
      <c r="G927" t="s">
        <v>61</v>
      </c>
      <c r="H927" t="s">
        <v>62</v>
      </c>
      <c r="I927" t="s">
        <v>63</v>
      </c>
      <c r="J927" s="2">
        <v>4860</v>
      </c>
      <c r="K927">
        <v>6</v>
      </c>
      <c r="L927" s="2">
        <v>0.1</v>
      </c>
      <c r="M927" s="2">
        <v>677.14</v>
      </c>
      <c r="N927" t="s">
        <v>24</v>
      </c>
      <c r="O927" t="s">
        <v>79</v>
      </c>
      <c r="P927" t="s">
        <v>26</v>
      </c>
    </row>
    <row r="928" spans="1:16" x14ac:dyDescent="0.3">
      <c r="A928" t="s">
        <v>996</v>
      </c>
      <c r="B928" s="1">
        <v>46119</v>
      </c>
      <c r="C928" t="s">
        <v>997</v>
      </c>
      <c r="D928" t="s">
        <v>134</v>
      </c>
      <c r="E928" t="s">
        <v>75</v>
      </c>
      <c r="F928" t="s">
        <v>20</v>
      </c>
      <c r="G928" t="s">
        <v>76</v>
      </c>
      <c r="H928" t="s">
        <v>122</v>
      </c>
      <c r="I928" t="s">
        <v>123</v>
      </c>
      <c r="J928" s="2">
        <v>13200</v>
      </c>
      <c r="K928">
        <v>6</v>
      </c>
      <c r="L928" s="2">
        <v>0</v>
      </c>
      <c r="M928" s="2">
        <v>3290.28</v>
      </c>
      <c r="N928" t="s">
        <v>35</v>
      </c>
      <c r="O928" t="s">
        <v>65</v>
      </c>
      <c r="P928" t="s">
        <v>47</v>
      </c>
    </row>
    <row r="929" spans="1:16" x14ac:dyDescent="0.3">
      <c r="A929" t="s">
        <v>241</v>
      </c>
      <c r="B929" s="1">
        <v>45726</v>
      </c>
      <c r="C929" t="s">
        <v>242</v>
      </c>
      <c r="D929" t="s">
        <v>39</v>
      </c>
      <c r="E929" t="s">
        <v>40</v>
      </c>
      <c r="F929" t="s">
        <v>41</v>
      </c>
      <c r="G929" t="s">
        <v>76</v>
      </c>
      <c r="H929" t="s">
        <v>77</v>
      </c>
      <c r="I929" t="s">
        <v>78</v>
      </c>
      <c r="J929" s="2">
        <v>4320</v>
      </c>
      <c r="K929">
        <v>2</v>
      </c>
      <c r="L929" s="2">
        <v>0.1</v>
      </c>
      <c r="M929" s="2">
        <v>679.43</v>
      </c>
      <c r="N929" t="s">
        <v>45</v>
      </c>
      <c r="O929" t="s">
        <v>65</v>
      </c>
      <c r="P929" t="s">
        <v>26</v>
      </c>
    </row>
    <row r="930" spans="1:16" x14ac:dyDescent="0.3">
      <c r="A930" t="s">
        <v>874</v>
      </c>
      <c r="B930" s="1">
        <v>46041</v>
      </c>
      <c r="C930" t="s">
        <v>347</v>
      </c>
      <c r="D930" t="s">
        <v>134</v>
      </c>
      <c r="E930" t="s">
        <v>75</v>
      </c>
      <c r="F930" t="s">
        <v>20</v>
      </c>
      <c r="G930" t="s">
        <v>42</v>
      </c>
      <c r="H930" t="s">
        <v>53</v>
      </c>
      <c r="I930" t="s">
        <v>120</v>
      </c>
      <c r="J930" s="2">
        <v>11970</v>
      </c>
      <c r="K930">
        <v>3</v>
      </c>
      <c r="L930" s="2">
        <v>0.05</v>
      </c>
      <c r="M930" s="2">
        <v>1070.3499999999999</v>
      </c>
      <c r="N930" t="s">
        <v>64</v>
      </c>
      <c r="O930" t="s">
        <v>46</v>
      </c>
      <c r="P930" t="s">
        <v>55</v>
      </c>
    </row>
    <row r="931" spans="1:16" x14ac:dyDescent="0.3">
      <c r="A931" t="s">
        <v>627</v>
      </c>
      <c r="B931" s="1">
        <v>45892</v>
      </c>
      <c r="C931" t="s">
        <v>628</v>
      </c>
      <c r="D931" t="s">
        <v>134</v>
      </c>
      <c r="E931" t="s">
        <v>75</v>
      </c>
      <c r="F931" t="s">
        <v>20</v>
      </c>
      <c r="G931" t="s">
        <v>61</v>
      </c>
      <c r="H931" t="s">
        <v>62</v>
      </c>
      <c r="I931" t="s">
        <v>70</v>
      </c>
      <c r="J931" s="2">
        <v>4860</v>
      </c>
      <c r="K931">
        <v>3</v>
      </c>
      <c r="L931" s="2">
        <v>0.1</v>
      </c>
      <c r="M931" s="2">
        <v>1214.1099999999999</v>
      </c>
      <c r="N931" t="s">
        <v>45</v>
      </c>
      <c r="O931" t="s">
        <v>65</v>
      </c>
      <c r="P931" t="s">
        <v>47</v>
      </c>
    </row>
    <row r="932" spans="1:16" x14ac:dyDescent="0.3">
      <c r="A932" t="s">
        <v>1194</v>
      </c>
      <c r="B932" s="1">
        <v>46239</v>
      </c>
      <c r="C932" t="s">
        <v>518</v>
      </c>
      <c r="D932" t="s">
        <v>50</v>
      </c>
      <c r="E932" t="s">
        <v>51</v>
      </c>
      <c r="F932" t="s">
        <v>52</v>
      </c>
      <c r="G932" t="s">
        <v>76</v>
      </c>
      <c r="H932" t="s">
        <v>122</v>
      </c>
      <c r="I932" t="s">
        <v>217</v>
      </c>
      <c r="J932" s="2">
        <v>8550</v>
      </c>
      <c r="K932">
        <v>5</v>
      </c>
      <c r="L932" s="2">
        <v>0.05</v>
      </c>
      <c r="M932" s="2">
        <v>934.13</v>
      </c>
      <c r="N932" t="s">
        <v>35</v>
      </c>
      <c r="O932" t="s">
        <v>79</v>
      </c>
      <c r="P932" t="s">
        <v>55</v>
      </c>
    </row>
    <row r="933" spans="1:16" x14ac:dyDescent="0.3">
      <c r="A933" t="s">
        <v>593</v>
      </c>
      <c r="B933" s="1">
        <v>45878</v>
      </c>
      <c r="C933" t="s">
        <v>188</v>
      </c>
      <c r="D933" t="s">
        <v>96</v>
      </c>
      <c r="E933" t="s">
        <v>97</v>
      </c>
      <c r="F933" t="s">
        <v>20</v>
      </c>
      <c r="G933" t="s">
        <v>32</v>
      </c>
      <c r="H933" t="s">
        <v>84</v>
      </c>
      <c r="I933" t="s">
        <v>140</v>
      </c>
      <c r="J933" s="2">
        <v>20250</v>
      </c>
      <c r="K933">
        <v>3</v>
      </c>
      <c r="L933" s="2">
        <v>0.1</v>
      </c>
      <c r="M933" s="2">
        <v>2001.96</v>
      </c>
      <c r="N933" t="s">
        <v>45</v>
      </c>
      <c r="O933" t="s">
        <v>65</v>
      </c>
      <c r="P933" t="s">
        <v>26</v>
      </c>
    </row>
    <row r="934" spans="1:16" x14ac:dyDescent="0.3">
      <c r="A934" t="s">
        <v>408</v>
      </c>
      <c r="B934" s="1">
        <v>45786</v>
      </c>
      <c r="C934" t="s">
        <v>268</v>
      </c>
      <c r="D934" t="s">
        <v>50</v>
      </c>
      <c r="E934" t="s">
        <v>51</v>
      </c>
      <c r="F934" t="s">
        <v>52</v>
      </c>
      <c r="G934" t="s">
        <v>42</v>
      </c>
      <c r="H934" t="s">
        <v>279</v>
      </c>
      <c r="I934" t="s">
        <v>280</v>
      </c>
      <c r="J934" s="2">
        <v>37500</v>
      </c>
      <c r="K934">
        <v>3</v>
      </c>
      <c r="L934" s="2">
        <v>0</v>
      </c>
      <c r="M934" s="2">
        <v>10488.16</v>
      </c>
      <c r="N934" t="s">
        <v>45</v>
      </c>
      <c r="O934" t="s">
        <v>108</v>
      </c>
      <c r="P934" t="s">
        <v>55</v>
      </c>
    </row>
    <row r="935" spans="1:16" x14ac:dyDescent="0.3">
      <c r="A935" t="s">
        <v>1382</v>
      </c>
      <c r="B935" s="1">
        <v>46380</v>
      </c>
      <c r="C935" t="s">
        <v>270</v>
      </c>
      <c r="D935" t="s">
        <v>152</v>
      </c>
      <c r="E935" t="s">
        <v>153</v>
      </c>
      <c r="F935" t="s">
        <v>20</v>
      </c>
      <c r="G935" t="s">
        <v>61</v>
      </c>
      <c r="H935" t="s">
        <v>98</v>
      </c>
      <c r="I935" t="s">
        <v>99</v>
      </c>
      <c r="J935" s="2">
        <v>127500</v>
      </c>
      <c r="K935">
        <v>5</v>
      </c>
      <c r="L935" s="2">
        <v>0.15</v>
      </c>
      <c r="M935" s="2">
        <v>30237.57</v>
      </c>
      <c r="N935" t="s">
        <v>24</v>
      </c>
      <c r="O935" t="s">
        <v>135</v>
      </c>
      <c r="P935" t="s">
        <v>47</v>
      </c>
    </row>
    <row r="936" spans="1:16" x14ac:dyDescent="0.3">
      <c r="A936" t="s">
        <v>357</v>
      </c>
      <c r="B936" s="1">
        <v>45761</v>
      </c>
      <c r="C936" t="s">
        <v>213</v>
      </c>
      <c r="D936" t="s">
        <v>96</v>
      </c>
      <c r="E936" t="s">
        <v>97</v>
      </c>
      <c r="F936" t="s">
        <v>20</v>
      </c>
      <c r="G936" t="s">
        <v>42</v>
      </c>
      <c r="H936" t="s">
        <v>53</v>
      </c>
      <c r="I936" t="s">
        <v>120</v>
      </c>
      <c r="J936" s="2">
        <v>7560</v>
      </c>
      <c r="K936">
        <v>2</v>
      </c>
      <c r="L936" s="2">
        <v>0.1</v>
      </c>
      <c r="M936" s="2">
        <v>1733.05</v>
      </c>
      <c r="N936" t="s">
        <v>35</v>
      </c>
      <c r="O936" t="s">
        <v>135</v>
      </c>
      <c r="P936" t="s">
        <v>47</v>
      </c>
    </row>
    <row r="937" spans="1:16" x14ac:dyDescent="0.3">
      <c r="A937" t="s">
        <v>1369</v>
      </c>
      <c r="B937" s="1">
        <v>46368</v>
      </c>
      <c r="C937" t="s">
        <v>287</v>
      </c>
      <c r="D937" t="s">
        <v>50</v>
      </c>
      <c r="E937" t="s">
        <v>51</v>
      </c>
      <c r="F937" t="s">
        <v>52</v>
      </c>
      <c r="G937" t="s">
        <v>76</v>
      </c>
      <c r="H937" t="s">
        <v>122</v>
      </c>
      <c r="I937" t="s">
        <v>123</v>
      </c>
      <c r="J937" s="2">
        <v>2200</v>
      </c>
      <c r="K937">
        <v>1</v>
      </c>
      <c r="L937" s="2">
        <v>0</v>
      </c>
      <c r="M937" s="2">
        <v>610.04</v>
      </c>
      <c r="N937" t="s">
        <v>45</v>
      </c>
      <c r="O937" t="s">
        <v>108</v>
      </c>
      <c r="P937" t="s">
        <v>47</v>
      </c>
    </row>
    <row r="938" spans="1:16" x14ac:dyDescent="0.3">
      <c r="A938" t="s">
        <v>826</v>
      </c>
      <c r="B938" s="1">
        <v>46016</v>
      </c>
      <c r="C938" t="s">
        <v>101</v>
      </c>
      <c r="D938" t="s">
        <v>152</v>
      </c>
      <c r="E938" t="s">
        <v>153</v>
      </c>
      <c r="F938" t="s">
        <v>20</v>
      </c>
      <c r="G938" t="s">
        <v>61</v>
      </c>
      <c r="H938" t="s">
        <v>62</v>
      </c>
      <c r="I938" t="s">
        <v>70</v>
      </c>
      <c r="J938" s="2">
        <v>8100</v>
      </c>
      <c r="K938">
        <v>5</v>
      </c>
      <c r="L938" s="2">
        <v>0.1</v>
      </c>
      <c r="M938" s="2">
        <v>708.83</v>
      </c>
      <c r="N938" t="s">
        <v>45</v>
      </c>
      <c r="O938" t="s">
        <v>108</v>
      </c>
      <c r="P938" t="s">
        <v>55</v>
      </c>
    </row>
    <row r="939" spans="1:16" x14ac:dyDescent="0.3">
      <c r="A939" t="s">
        <v>748</v>
      </c>
      <c r="B939" s="1">
        <v>45966</v>
      </c>
      <c r="C939" t="s">
        <v>749</v>
      </c>
      <c r="D939" t="s">
        <v>50</v>
      </c>
      <c r="E939" t="s">
        <v>51</v>
      </c>
      <c r="F939" t="s">
        <v>52</v>
      </c>
      <c r="G939" t="s">
        <v>42</v>
      </c>
      <c r="H939" t="s">
        <v>43</v>
      </c>
      <c r="I939" t="s">
        <v>44</v>
      </c>
      <c r="J939" s="2">
        <v>8075</v>
      </c>
      <c r="K939">
        <v>1</v>
      </c>
      <c r="L939" s="2">
        <v>0.05</v>
      </c>
      <c r="M939" s="2">
        <v>642.28</v>
      </c>
      <c r="N939" t="s">
        <v>64</v>
      </c>
      <c r="O939" t="s">
        <v>79</v>
      </c>
      <c r="P939" t="s">
        <v>26</v>
      </c>
    </row>
    <row r="940" spans="1:16" x14ac:dyDescent="0.3">
      <c r="A940" t="s">
        <v>1223</v>
      </c>
      <c r="B940" s="1">
        <v>46263</v>
      </c>
      <c r="C940" t="s">
        <v>242</v>
      </c>
      <c r="D940" t="s">
        <v>134</v>
      </c>
      <c r="E940" t="s">
        <v>75</v>
      </c>
      <c r="F940" t="s">
        <v>20</v>
      </c>
      <c r="G940" t="s">
        <v>42</v>
      </c>
      <c r="H940" t="s">
        <v>53</v>
      </c>
      <c r="I940" t="s">
        <v>54</v>
      </c>
      <c r="J940" s="2">
        <v>7650</v>
      </c>
      <c r="K940">
        <v>5</v>
      </c>
      <c r="L940" s="2">
        <v>0.15</v>
      </c>
      <c r="M940" s="2">
        <v>1447.58</v>
      </c>
      <c r="N940" t="s">
        <v>114</v>
      </c>
      <c r="O940" t="s">
        <v>46</v>
      </c>
      <c r="P940" t="s">
        <v>26</v>
      </c>
    </row>
    <row r="941" spans="1:16" x14ac:dyDescent="0.3">
      <c r="A941" t="s">
        <v>1384</v>
      </c>
      <c r="B941" s="1">
        <v>46382</v>
      </c>
      <c r="C941" t="s">
        <v>469</v>
      </c>
      <c r="D941" t="s">
        <v>18</v>
      </c>
      <c r="E941" t="s">
        <v>19</v>
      </c>
      <c r="F941" t="s">
        <v>20</v>
      </c>
      <c r="G941" t="s">
        <v>21</v>
      </c>
      <c r="H941" t="s">
        <v>179</v>
      </c>
      <c r="I941" t="s">
        <v>180</v>
      </c>
      <c r="J941" s="2">
        <v>1920</v>
      </c>
      <c r="K941">
        <v>1</v>
      </c>
      <c r="L941" s="2">
        <v>0.2</v>
      </c>
      <c r="M941" s="2">
        <v>107.7</v>
      </c>
      <c r="N941" t="s">
        <v>24</v>
      </c>
      <c r="O941" t="s">
        <v>71</v>
      </c>
      <c r="P941" t="s">
        <v>26</v>
      </c>
    </row>
    <row r="942" spans="1:16" x14ac:dyDescent="0.3">
      <c r="A942" t="s">
        <v>804</v>
      </c>
      <c r="B942" s="1">
        <v>45999</v>
      </c>
      <c r="C942" t="s">
        <v>127</v>
      </c>
      <c r="D942" t="s">
        <v>166</v>
      </c>
      <c r="E942" t="s">
        <v>75</v>
      </c>
      <c r="F942" t="s">
        <v>20</v>
      </c>
      <c r="G942" t="s">
        <v>76</v>
      </c>
      <c r="H942" t="s">
        <v>77</v>
      </c>
      <c r="I942" t="s">
        <v>78</v>
      </c>
      <c r="J942" s="2">
        <v>2160</v>
      </c>
      <c r="K942">
        <v>1</v>
      </c>
      <c r="L942" s="2">
        <v>0.1</v>
      </c>
      <c r="M942" s="2">
        <v>588.1</v>
      </c>
      <c r="N942" t="s">
        <v>24</v>
      </c>
      <c r="O942" t="s">
        <v>79</v>
      </c>
      <c r="P942" t="s">
        <v>47</v>
      </c>
    </row>
    <row r="943" spans="1:16" x14ac:dyDescent="0.3">
      <c r="A943" t="s">
        <v>115</v>
      </c>
      <c r="B943" s="1">
        <v>45670</v>
      </c>
      <c r="C943" t="s">
        <v>116</v>
      </c>
      <c r="D943" t="s">
        <v>29</v>
      </c>
      <c r="E943" t="s">
        <v>30</v>
      </c>
      <c r="F943" t="s">
        <v>31</v>
      </c>
      <c r="G943" t="s">
        <v>21</v>
      </c>
      <c r="H943" t="s">
        <v>22</v>
      </c>
      <c r="I943" t="s">
        <v>111</v>
      </c>
      <c r="J943" s="2">
        <v>540</v>
      </c>
      <c r="K943">
        <v>2</v>
      </c>
      <c r="L943" s="2">
        <v>0.1</v>
      </c>
      <c r="M943" s="2">
        <v>42.76</v>
      </c>
      <c r="N943" t="s">
        <v>64</v>
      </c>
      <c r="O943" t="s">
        <v>108</v>
      </c>
      <c r="P943" t="s">
        <v>47</v>
      </c>
    </row>
    <row r="944" spans="1:16" x14ac:dyDescent="0.3">
      <c r="A944" t="s">
        <v>385</v>
      </c>
      <c r="B944" s="1">
        <v>45777</v>
      </c>
      <c r="C944" t="s">
        <v>125</v>
      </c>
      <c r="D944" t="s">
        <v>104</v>
      </c>
      <c r="E944" t="s">
        <v>83</v>
      </c>
      <c r="F944" t="s">
        <v>52</v>
      </c>
      <c r="G944" t="s">
        <v>61</v>
      </c>
      <c r="H944" t="s">
        <v>128</v>
      </c>
      <c r="I944" t="s">
        <v>129</v>
      </c>
      <c r="J944" s="2">
        <v>176800</v>
      </c>
      <c r="K944">
        <v>4</v>
      </c>
      <c r="L944" s="2">
        <v>0.15</v>
      </c>
      <c r="M944" s="2">
        <v>21664</v>
      </c>
      <c r="N944" t="s">
        <v>114</v>
      </c>
      <c r="O944" t="s">
        <v>25</v>
      </c>
      <c r="P944" t="s">
        <v>26</v>
      </c>
    </row>
    <row r="945" spans="1:16" x14ac:dyDescent="0.3">
      <c r="A945" t="s">
        <v>1105</v>
      </c>
      <c r="B945" s="1">
        <v>46178</v>
      </c>
      <c r="C945" t="s">
        <v>1106</v>
      </c>
      <c r="D945" t="s">
        <v>96</v>
      </c>
      <c r="E945" t="s">
        <v>97</v>
      </c>
      <c r="F945" t="s">
        <v>20</v>
      </c>
      <c r="G945" t="s">
        <v>61</v>
      </c>
      <c r="H945" t="s">
        <v>128</v>
      </c>
      <c r="I945" t="s">
        <v>195</v>
      </c>
      <c r="J945" s="2">
        <v>275500</v>
      </c>
      <c r="K945">
        <v>5</v>
      </c>
      <c r="L945" s="2">
        <v>0.05</v>
      </c>
      <c r="M945" s="2">
        <v>45328.61</v>
      </c>
      <c r="N945" t="s">
        <v>24</v>
      </c>
      <c r="O945" t="s">
        <v>105</v>
      </c>
      <c r="P945" t="s">
        <v>26</v>
      </c>
    </row>
    <row r="946" spans="1:16" x14ac:dyDescent="0.3">
      <c r="A946" t="s">
        <v>614</v>
      </c>
      <c r="B946" s="1">
        <v>45887</v>
      </c>
      <c r="C946" t="s">
        <v>555</v>
      </c>
      <c r="D946" t="s">
        <v>39</v>
      </c>
      <c r="E946" t="s">
        <v>40</v>
      </c>
      <c r="F946" t="s">
        <v>41</v>
      </c>
      <c r="G946" t="s">
        <v>32</v>
      </c>
      <c r="H946" t="s">
        <v>92</v>
      </c>
      <c r="I946" t="s">
        <v>93</v>
      </c>
      <c r="J946" s="2">
        <v>51750</v>
      </c>
      <c r="K946">
        <v>5</v>
      </c>
      <c r="L946" s="2">
        <v>0.1</v>
      </c>
      <c r="M946" s="2">
        <v>12923.51</v>
      </c>
      <c r="N946" t="s">
        <v>45</v>
      </c>
      <c r="O946" t="s">
        <v>25</v>
      </c>
      <c r="P946" t="s">
        <v>26</v>
      </c>
    </row>
    <row r="947" spans="1:16" x14ac:dyDescent="0.3">
      <c r="A947" t="s">
        <v>808</v>
      </c>
      <c r="B947" s="1">
        <v>46000</v>
      </c>
      <c r="C947" t="s">
        <v>244</v>
      </c>
      <c r="D947" t="s">
        <v>166</v>
      </c>
      <c r="E947" t="s">
        <v>75</v>
      </c>
      <c r="F947" t="s">
        <v>20</v>
      </c>
      <c r="G947" t="s">
        <v>61</v>
      </c>
      <c r="H947" t="s">
        <v>98</v>
      </c>
      <c r="I947" t="s">
        <v>156</v>
      </c>
      <c r="J947" s="2">
        <v>136800</v>
      </c>
      <c r="K947">
        <v>4</v>
      </c>
      <c r="L947" s="2">
        <v>0.1</v>
      </c>
      <c r="M947" s="2">
        <v>31036.03</v>
      </c>
      <c r="N947" t="s">
        <v>24</v>
      </c>
      <c r="O947" t="s">
        <v>105</v>
      </c>
      <c r="P947" t="s">
        <v>55</v>
      </c>
    </row>
    <row r="948" spans="1:16" x14ac:dyDescent="0.3">
      <c r="A948" t="s">
        <v>878</v>
      </c>
      <c r="B948" s="1">
        <v>46043</v>
      </c>
      <c r="C948" t="s">
        <v>276</v>
      </c>
      <c r="D948" t="s">
        <v>134</v>
      </c>
      <c r="E948" t="s">
        <v>75</v>
      </c>
      <c r="F948" t="s">
        <v>20</v>
      </c>
      <c r="G948" t="s">
        <v>61</v>
      </c>
      <c r="H948" t="s">
        <v>62</v>
      </c>
      <c r="I948" t="s">
        <v>63</v>
      </c>
      <c r="J948" s="2">
        <v>4500</v>
      </c>
      <c r="K948">
        <v>5</v>
      </c>
      <c r="L948" s="2">
        <v>0</v>
      </c>
      <c r="M948" s="2">
        <v>942.36</v>
      </c>
      <c r="N948" t="s">
        <v>114</v>
      </c>
      <c r="O948" t="s">
        <v>86</v>
      </c>
      <c r="P948" t="s">
        <v>26</v>
      </c>
    </row>
    <row r="949" spans="1:16" x14ac:dyDescent="0.3">
      <c r="A949" t="s">
        <v>1101</v>
      </c>
      <c r="B949" s="1">
        <v>46176</v>
      </c>
      <c r="C949" t="s">
        <v>265</v>
      </c>
      <c r="D949" t="s">
        <v>50</v>
      </c>
      <c r="E949" t="s">
        <v>51</v>
      </c>
      <c r="F949" t="s">
        <v>52</v>
      </c>
      <c r="G949" t="s">
        <v>42</v>
      </c>
      <c r="H949" t="s">
        <v>279</v>
      </c>
      <c r="I949" t="s">
        <v>280</v>
      </c>
      <c r="J949" s="2">
        <v>63750</v>
      </c>
      <c r="K949">
        <v>6</v>
      </c>
      <c r="L949" s="2">
        <v>0.15</v>
      </c>
      <c r="M949" s="2">
        <v>8997.58</v>
      </c>
      <c r="N949" t="s">
        <v>64</v>
      </c>
      <c r="O949" t="s">
        <v>79</v>
      </c>
      <c r="P949" t="s">
        <v>55</v>
      </c>
    </row>
    <row r="950" spans="1:16" x14ac:dyDescent="0.3">
      <c r="A950" t="s">
        <v>969</v>
      </c>
      <c r="B950" s="1">
        <v>46102</v>
      </c>
      <c r="C950" t="s">
        <v>609</v>
      </c>
      <c r="D950" t="s">
        <v>104</v>
      </c>
      <c r="E950" t="s">
        <v>83</v>
      </c>
      <c r="F950" t="s">
        <v>52</v>
      </c>
      <c r="G950" t="s">
        <v>61</v>
      </c>
      <c r="H950" t="s">
        <v>98</v>
      </c>
      <c r="I950" t="s">
        <v>156</v>
      </c>
      <c r="J950" s="2">
        <v>190000</v>
      </c>
      <c r="K950">
        <v>5</v>
      </c>
      <c r="L950" s="2">
        <v>0</v>
      </c>
      <c r="M950" s="2">
        <v>26779.47</v>
      </c>
      <c r="N950" t="s">
        <v>35</v>
      </c>
      <c r="O950" t="s">
        <v>71</v>
      </c>
      <c r="P950" t="s">
        <v>26</v>
      </c>
    </row>
    <row r="951" spans="1:16" x14ac:dyDescent="0.3">
      <c r="A951" t="s">
        <v>212</v>
      </c>
      <c r="B951" s="1">
        <v>45710</v>
      </c>
      <c r="C951" t="s">
        <v>213</v>
      </c>
      <c r="D951" t="s">
        <v>82</v>
      </c>
      <c r="E951" t="s">
        <v>83</v>
      </c>
      <c r="F951" t="s">
        <v>52</v>
      </c>
      <c r="G951" t="s">
        <v>32</v>
      </c>
      <c r="H951" t="s">
        <v>92</v>
      </c>
      <c r="I951" t="s">
        <v>93</v>
      </c>
      <c r="J951" s="2">
        <v>51750</v>
      </c>
      <c r="K951">
        <v>5</v>
      </c>
      <c r="L951" s="2">
        <v>0.1</v>
      </c>
      <c r="M951" s="2">
        <v>13253.4</v>
      </c>
      <c r="N951" t="s">
        <v>24</v>
      </c>
      <c r="O951" t="s">
        <v>71</v>
      </c>
      <c r="P951" t="s">
        <v>26</v>
      </c>
    </row>
    <row r="952" spans="1:16" x14ac:dyDescent="0.3">
      <c r="A952" t="s">
        <v>726</v>
      </c>
      <c r="B952" s="1">
        <v>45946</v>
      </c>
      <c r="C952" t="s">
        <v>402</v>
      </c>
      <c r="D952" t="s">
        <v>91</v>
      </c>
      <c r="E952" t="s">
        <v>91</v>
      </c>
      <c r="F952" t="s">
        <v>60</v>
      </c>
      <c r="G952" t="s">
        <v>76</v>
      </c>
      <c r="H952" t="s">
        <v>77</v>
      </c>
      <c r="I952" t="s">
        <v>78</v>
      </c>
      <c r="J952" s="2">
        <v>4080</v>
      </c>
      <c r="K952">
        <v>2</v>
      </c>
      <c r="L952" s="2">
        <v>0.15</v>
      </c>
      <c r="M952" s="2">
        <v>540.41999999999996</v>
      </c>
      <c r="N952" t="s">
        <v>64</v>
      </c>
      <c r="O952" t="s">
        <v>36</v>
      </c>
      <c r="P952" t="s">
        <v>55</v>
      </c>
    </row>
    <row r="953" spans="1:16" x14ac:dyDescent="0.3">
      <c r="A953" t="s">
        <v>1379</v>
      </c>
      <c r="B953" s="1">
        <v>46379</v>
      </c>
      <c r="C953" t="s">
        <v>588</v>
      </c>
      <c r="D953" t="s">
        <v>29</v>
      </c>
      <c r="E953" t="s">
        <v>30</v>
      </c>
      <c r="F953" t="s">
        <v>31</v>
      </c>
      <c r="G953" t="s">
        <v>21</v>
      </c>
      <c r="H953" t="s">
        <v>179</v>
      </c>
      <c r="I953" t="s">
        <v>180</v>
      </c>
      <c r="J953" s="2">
        <v>9120</v>
      </c>
      <c r="K953">
        <v>4</v>
      </c>
      <c r="L953" s="2">
        <v>0.05</v>
      </c>
      <c r="M953" s="2">
        <v>1320.11</v>
      </c>
      <c r="N953" t="s">
        <v>35</v>
      </c>
      <c r="O953" t="s">
        <v>108</v>
      </c>
      <c r="P953" t="s">
        <v>55</v>
      </c>
    </row>
    <row r="954" spans="1:16" x14ac:dyDescent="0.3">
      <c r="A954" t="s">
        <v>940</v>
      </c>
      <c r="B954" s="1">
        <v>46083</v>
      </c>
      <c r="C954" t="s">
        <v>848</v>
      </c>
      <c r="D954" t="s">
        <v>96</v>
      </c>
      <c r="E954" t="s">
        <v>97</v>
      </c>
      <c r="F954" t="s">
        <v>20</v>
      </c>
      <c r="G954" t="s">
        <v>42</v>
      </c>
      <c r="H954" t="s">
        <v>43</v>
      </c>
      <c r="I954" t="s">
        <v>44</v>
      </c>
      <c r="J954" s="2">
        <v>16150</v>
      </c>
      <c r="K954">
        <v>2</v>
      </c>
      <c r="L954" s="2">
        <v>0.05</v>
      </c>
      <c r="M954" s="2">
        <v>4243.68</v>
      </c>
      <c r="N954" t="s">
        <v>35</v>
      </c>
      <c r="O954" t="s">
        <v>105</v>
      </c>
      <c r="P954" t="s">
        <v>47</v>
      </c>
    </row>
    <row r="955" spans="1:16" x14ac:dyDescent="0.3">
      <c r="A955" t="s">
        <v>1017</v>
      </c>
      <c r="B955" s="1">
        <v>46131</v>
      </c>
      <c r="C955" t="s">
        <v>694</v>
      </c>
      <c r="D955" t="s">
        <v>104</v>
      </c>
      <c r="E955" t="s">
        <v>83</v>
      </c>
      <c r="F955" t="s">
        <v>52</v>
      </c>
      <c r="G955" t="s">
        <v>76</v>
      </c>
      <c r="H955" t="s">
        <v>122</v>
      </c>
      <c r="I955" t="s">
        <v>123</v>
      </c>
      <c r="J955" s="2">
        <v>1980</v>
      </c>
      <c r="K955">
        <v>1</v>
      </c>
      <c r="L955" s="2">
        <v>0.1</v>
      </c>
      <c r="M955" s="2">
        <v>352.47</v>
      </c>
      <c r="N955" t="s">
        <v>35</v>
      </c>
      <c r="O955" t="s">
        <v>65</v>
      </c>
      <c r="P955" t="s">
        <v>26</v>
      </c>
    </row>
    <row r="956" spans="1:16" x14ac:dyDescent="0.3">
      <c r="A956" t="s">
        <v>1078</v>
      </c>
      <c r="B956" s="1">
        <v>46159</v>
      </c>
      <c r="C956" t="s">
        <v>344</v>
      </c>
      <c r="D956" t="s">
        <v>50</v>
      </c>
      <c r="E956" t="s">
        <v>51</v>
      </c>
      <c r="F956" t="s">
        <v>52</v>
      </c>
      <c r="G956" t="s">
        <v>32</v>
      </c>
      <c r="H956" t="s">
        <v>84</v>
      </c>
      <c r="I956" t="s">
        <v>140</v>
      </c>
      <c r="J956" s="2">
        <v>22500</v>
      </c>
      <c r="K956">
        <v>3</v>
      </c>
      <c r="L956" s="2">
        <v>0</v>
      </c>
      <c r="M956" s="2">
        <v>2729</v>
      </c>
      <c r="N956" t="s">
        <v>64</v>
      </c>
      <c r="O956" t="s">
        <v>108</v>
      </c>
      <c r="P956" t="s">
        <v>55</v>
      </c>
    </row>
    <row r="957" spans="1:16" x14ac:dyDescent="0.3">
      <c r="A957" t="s">
        <v>1080</v>
      </c>
      <c r="B957" s="1">
        <v>46159</v>
      </c>
      <c r="C957" t="s">
        <v>366</v>
      </c>
      <c r="D957" t="s">
        <v>58</v>
      </c>
      <c r="E957" t="s">
        <v>59</v>
      </c>
      <c r="F957" t="s">
        <v>60</v>
      </c>
      <c r="G957" t="s">
        <v>76</v>
      </c>
      <c r="H957" t="s">
        <v>122</v>
      </c>
      <c r="I957" t="s">
        <v>123</v>
      </c>
      <c r="J957" s="2">
        <v>12540</v>
      </c>
      <c r="K957">
        <v>6</v>
      </c>
      <c r="L957" s="2">
        <v>0.05</v>
      </c>
      <c r="M957" s="2">
        <v>997.85</v>
      </c>
      <c r="N957" t="s">
        <v>114</v>
      </c>
      <c r="O957" t="s">
        <v>108</v>
      </c>
      <c r="P957" t="s">
        <v>47</v>
      </c>
    </row>
    <row r="958" spans="1:16" x14ac:dyDescent="0.3">
      <c r="A958" t="s">
        <v>1309</v>
      </c>
      <c r="B958" s="1">
        <v>46318</v>
      </c>
      <c r="C958" t="s">
        <v>107</v>
      </c>
      <c r="D958" t="s">
        <v>18</v>
      </c>
      <c r="E958" t="s">
        <v>19</v>
      </c>
      <c r="F958" t="s">
        <v>20</v>
      </c>
      <c r="G958" t="s">
        <v>61</v>
      </c>
      <c r="H958" t="s">
        <v>128</v>
      </c>
      <c r="I958" t="s">
        <v>195</v>
      </c>
      <c r="J958" s="2">
        <v>52200</v>
      </c>
      <c r="K958">
        <v>1</v>
      </c>
      <c r="L958" s="2">
        <v>0.1</v>
      </c>
      <c r="M958" s="2">
        <v>5037.91</v>
      </c>
      <c r="N958" t="s">
        <v>45</v>
      </c>
      <c r="O958" t="s">
        <v>36</v>
      </c>
      <c r="P958" t="s">
        <v>55</v>
      </c>
    </row>
    <row r="959" spans="1:16" x14ac:dyDescent="0.3">
      <c r="A959" t="s">
        <v>1173</v>
      </c>
      <c r="B959" s="1">
        <v>46221</v>
      </c>
      <c r="C959" t="s">
        <v>81</v>
      </c>
      <c r="D959" t="s">
        <v>18</v>
      </c>
      <c r="E959" t="s">
        <v>19</v>
      </c>
      <c r="F959" t="s">
        <v>20</v>
      </c>
      <c r="G959" t="s">
        <v>61</v>
      </c>
      <c r="H959" t="s">
        <v>128</v>
      </c>
      <c r="I959" t="s">
        <v>195</v>
      </c>
      <c r="J959" s="2">
        <v>275500</v>
      </c>
      <c r="K959">
        <v>5</v>
      </c>
      <c r="L959" s="2">
        <v>0.05</v>
      </c>
      <c r="M959" s="2">
        <v>66933.47</v>
      </c>
      <c r="N959" t="s">
        <v>64</v>
      </c>
      <c r="O959" t="s">
        <v>86</v>
      </c>
      <c r="P959" t="s">
        <v>26</v>
      </c>
    </row>
    <row r="960" spans="1:16" x14ac:dyDescent="0.3">
      <c r="A960" t="s">
        <v>1259</v>
      </c>
      <c r="B960" s="1">
        <v>46290</v>
      </c>
      <c r="C960" t="s">
        <v>419</v>
      </c>
      <c r="D960" t="s">
        <v>68</v>
      </c>
      <c r="E960" t="s">
        <v>69</v>
      </c>
      <c r="F960" t="s">
        <v>41</v>
      </c>
      <c r="G960" t="s">
        <v>32</v>
      </c>
      <c r="H960" t="s">
        <v>33</v>
      </c>
      <c r="I960" t="s">
        <v>34</v>
      </c>
      <c r="J960" s="2">
        <v>5270</v>
      </c>
      <c r="K960">
        <v>1</v>
      </c>
      <c r="L960" s="2">
        <v>0.15</v>
      </c>
      <c r="M960" s="2">
        <v>1103.6300000000001</v>
      </c>
      <c r="N960" t="s">
        <v>114</v>
      </c>
      <c r="O960" t="s">
        <v>135</v>
      </c>
      <c r="P960" t="s">
        <v>26</v>
      </c>
    </row>
    <row r="961" spans="1:16" x14ac:dyDescent="0.3">
      <c r="A961" t="s">
        <v>774</v>
      </c>
      <c r="B961" s="1">
        <v>45981</v>
      </c>
      <c r="C961" t="s">
        <v>755</v>
      </c>
      <c r="D961" t="s">
        <v>39</v>
      </c>
      <c r="E961" t="s">
        <v>40</v>
      </c>
      <c r="F961" t="s">
        <v>41</v>
      </c>
      <c r="G961" t="s">
        <v>32</v>
      </c>
      <c r="H961" t="s">
        <v>84</v>
      </c>
      <c r="I961" t="s">
        <v>85</v>
      </c>
      <c r="J961" s="2">
        <v>31875</v>
      </c>
      <c r="K961">
        <v>3</v>
      </c>
      <c r="L961" s="2">
        <v>0.15</v>
      </c>
      <c r="M961" s="2">
        <v>4922.25</v>
      </c>
      <c r="N961" t="s">
        <v>45</v>
      </c>
      <c r="O961" t="s">
        <v>105</v>
      </c>
      <c r="P961" t="s">
        <v>47</v>
      </c>
    </row>
    <row r="962" spans="1:16" x14ac:dyDescent="0.3">
      <c r="A962" t="s">
        <v>506</v>
      </c>
      <c r="B962" s="1">
        <v>45835</v>
      </c>
      <c r="C962" t="s">
        <v>433</v>
      </c>
      <c r="D962" t="s">
        <v>96</v>
      </c>
      <c r="E962" t="s">
        <v>97</v>
      </c>
      <c r="F962" t="s">
        <v>20</v>
      </c>
      <c r="G962" t="s">
        <v>32</v>
      </c>
      <c r="H962" t="s">
        <v>84</v>
      </c>
      <c r="I962" t="s">
        <v>140</v>
      </c>
      <c r="J962" s="2">
        <v>15000</v>
      </c>
      <c r="K962">
        <v>2</v>
      </c>
      <c r="L962" s="2">
        <v>0</v>
      </c>
      <c r="M962" s="2">
        <v>4009.06</v>
      </c>
      <c r="N962" t="s">
        <v>64</v>
      </c>
      <c r="O962" t="s">
        <v>86</v>
      </c>
      <c r="P962" t="s">
        <v>47</v>
      </c>
    </row>
    <row r="963" spans="1:16" x14ac:dyDescent="0.3">
      <c r="A963" t="s">
        <v>587</v>
      </c>
      <c r="B963" s="1">
        <v>45878</v>
      </c>
      <c r="C963" t="s">
        <v>588</v>
      </c>
      <c r="D963" t="s">
        <v>166</v>
      </c>
      <c r="E963" t="s">
        <v>75</v>
      </c>
      <c r="F963" t="s">
        <v>20</v>
      </c>
      <c r="G963" t="s">
        <v>61</v>
      </c>
      <c r="H963" t="s">
        <v>62</v>
      </c>
      <c r="I963" t="s">
        <v>70</v>
      </c>
      <c r="J963" s="2">
        <v>3240</v>
      </c>
      <c r="K963">
        <v>2</v>
      </c>
      <c r="L963" s="2">
        <v>0.1</v>
      </c>
      <c r="M963" s="2">
        <v>732.8</v>
      </c>
      <c r="N963" t="s">
        <v>64</v>
      </c>
      <c r="O963" t="s">
        <v>86</v>
      </c>
      <c r="P963" t="s">
        <v>47</v>
      </c>
    </row>
    <row r="964" spans="1:16" x14ac:dyDescent="0.3">
      <c r="A964" t="s">
        <v>980</v>
      </c>
      <c r="B964" s="1">
        <v>46108</v>
      </c>
      <c r="C964" t="s">
        <v>798</v>
      </c>
      <c r="D964" t="s">
        <v>29</v>
      </c>
      <c r="E964" t="s">
        <v>30</v>
      </c>
      <c r="F964" t="s">
        <v>31</v>
      </c>
      <c r="G964" t="s">
        <v>61</v>
      </c>
      <c r="H964" t="s">
        <v>62</v>
      </c>
      <c r="I964" t="s">
        <v>63</v>
      </c>
      <c r="J964" s="2">
        <v>1710</v>
      </c>
      <c r="K964">
        <v>2</v>
      </c>
      <c r="L964" s="2">
        <v>0.05</v>
      </c>
      <c r="M964" s="2">
        <v>433.21</v>
      </c>
      <c r="N964" t="s">
        <v>114</v>
      </c>
      <c r="O964" t="s">
        <v>36</v>
      </c>
      <c r="P964" t="s">
        <v>47</v>
      </c>
    </row>
    <row r="965" spans="1:16" x14ac:dyDescent="0.3">
      <c r="A965" t="s">
        <v>1007</v>
      </c>
      <c r="B965" s="1">
        <v>46127</v>
      </c>
      <c r="C965" t="s">
        <v>834</v>
      </c>
      <c r="D965" t="s">
        <v>134</v>
      </c>
      <c r="E965" t="s">
        <v>75</v>
      </c>
      <c r="F965" t="s">
        <v>20</v>
      </c>
      <c r="G965" t="s">
        <v>61</v>
      </c>
      <c r="H965" t="s">
        <v>128</v>
      </c>
      <c r="I965" t="s">
        <v>129</v>
      </c>
      <c r="J965" s="2">
        <v>312000</v>
      </c>
      <c r="K965">
        <v>6</v>
      </c>
      <c r="L965" s="2">
        <v>0</v>
      </c>
      <c r="M965" s="2">
        <v>28471.56</v>
      </c>
      <c r="N965" t="s">
        <v>114</v>
      </c>
      <c r="O965" t="s">
        <v>135</v>
      </c>
      <c r="P965" t="s">
        <v>26</v>
      </c>
    </row>
    <row r="966" spans="1:16" x14ac:dyDescent="0.3">
      <c r="A966" t="s">
        <v>254</v>
      </c>
      <c r="B966" s="1">
        <v>45728</v>
      </c>
      <c r="C966" t="s">
        <v>255</v>
      </c>
      <c r="D966" t="s">
        <v>50</v>
      </c>
      <c r="E966" t="s">
        <v>51</v>
      </c>
      <c r="F966" t="s">
        <v>52</v>
      </c>
      <c r="G966" t="s">
        <v>61</v>
      </c>
      <c r="H966" t="s">
        <v>62</v>
      </c>
      <c r="I966" t="s">
        <v>63</v>
      </c>
      <c r="J966" s="2">
        <v>3240</v>
      </c>
      <c r="K966">
        <v>4</v>
      </c>
      <c r="L966" s="2">
        <v>0.1</v>
      </c>
      <c r="M966" s="2">
        <v>855.11</v>
      </c>
      <c r="N966" t="s">
        <v>114</v>
      </c>
      <c r="O966" t="s">
        <v>25</v>
      </c>
      <c r="P966" t="s">
        <v>26</v>
      </c>
    </row>
    <row r="967" spans="1:16" x14ac:dyDescent="0.3">
      <c r="A967" t="s">
        <v>877</v>
      </c>
      <c r="B967" s="1">
        <v>46042</v>
      </c>
      <c r="C967" t="s">
        <v>851</v>
      </c>
      <c r="D967" t="s">
        <v>173</v>
      </c>
      <c r="E967" t="s">
        <v>174</v>
      </c>
      <c r="F967" t="s">
        <v>60</v>
      </c>
      <c r="G967" t="s">
        <v>42</v>
      </c>
      <c r="H967" t="s">
        <v>53</v>
      </c>
      <c r="I967" t="s">
        <v>120</v>
      </c>
      <c r="J967" s="2">
        <v>11340</v>
      </c>
      <c r="K967">
        <v>3</v>
      </c>
      <c r="L967" s="2">
        <v>0.1</v>
      </c>
      <c r="M967" s="2">
        <v>1464.27</v>
      </c>
      <c r="N967" t="s">
        <v>45</v>
      </c>
      <c r="O967" t="s">
        <v>71</v>
      </c>
      <c r="P967" t="s">
        <v>47</v>
      </c>
    </row>
    <row r="968" spans="1:16" x14ac:dyDescent="0.3">
      <c r="A968" t="s">
        <v>928</v>
      </c>
      <c r="B968" s="1">
        <v>46074</v>
      </c>
      <c r="C968" t="s">
        <v>162</v>
      </c>
      <c r="D968" t="s">
        <v>104</v>
      </c>
      <c r="E968" t="s">
        <v>83</v>
      </c>
      <c r="F968" t="s">
        <v>52</v>
      </c>
      <c r="G968" t="s">
        <v>61</v>
      </c>
      <c r="H968" t="s">
        <v>98</v>
      </c>
      <c r="I968" t="s">
        <v>156</v>
      </c>
      <c r="J968" s="2">
        <v>136800</v>
      </c>
      <c r="K968">
        <v>4</v>
      </c>
      <c r="L968" s="2">
        <v>0.1</v>
      </c>
      <c r="M968" s="2">
        <v>23708.44</v>
      </c>
      <c r="N968" t="s">
        <v>24</v>
      </c>
      <c r="O968" t="s">
        <v>65</v>
      </c>
      <c r="P968" t="s">
        <v>55</v>
      </c>
    </row>
    <row r="969" spans="1:16" x14ac:dyDescent="0.3">
      <c r="A969" t="s">
        <v>1119</v>
      </c>
      <c r="B969" s="1">
        <v>46187</v>
      </c>
      <c r="C969" t="s">
        <v>303</v>
      </c>
      <c r="D969" t="s">
        <v>50</v>
      </c>
      <c r="E969" t="s">
        <v>51</v>
      </c>
      <c r="F969" t="s">
        <v>52</v>
      </c>
      <c r="G969" t="s">
        <v>32</v>
      </c>
      <c r="H969" t="s">
        <v>92</v>
      </c>
      <c r="I969" t="s">
        <v>93</v>
      </c>
      <c r="J969" s="2">
        <v>58650</v>
      </c>
      <c r="K969">
        <v>6</v>
      </c>
      <c r="L969" s="2">
        <v>0.15</v>
      </c>
      <c r="M969" s="2">
        <v>13959.45</v>
      </c>
      <c r="N969" t="s">
        <v>35</v>
      </c>
      <c r="O969" t="s">
        <v>71</v>
      </c>
      <c r="P969" t="s">
        <v>26</v>
      </c>
    </row>
    <row r="970" spans="1:16" x14ac:dyDescent="0.3">
      <c r="A970" t="s">
        <v>780</v>
      </c>
      <c r="B970" s="1">
        <v>45987</v>
      </c>
      <c r="C970" t="s">
        <v>131</v>
      </c>
      <c r="D970" t="s">
        <v>82</v>
      </c>
      <c r="E970" t="s">
        <v>83</v>
      </c>
      <c r="F970" t="s">
        <v>52</v>
      </c>
      <c r="G970" t="s">
        <v>61</v>
      </c>
      <c r="H970" t="s">
        <v>98</v>
      </c>
      <c r="I970" t="s">
        <v>99</v>
      </c>
      <c r="J970" s="2">
        <v>108000</v>
      </c>
      <c r="K970">
        <v>4</v>
      </c>
      <c r="L970" s="2">
        <v>0.1</v>
      </c>
      <c r="M970" s="2">
        <v>25085.77</v>
      </c>
      <c r="N970" t="s">
        <v>114</v>
      </c>
      <c r="O970" t="s">
        <v>108</v>
      </c>
      <c r="P970" t="s">
        <v>26</v>
      </c>
    </row>
    <row r="971" spans="1:16" x14ac:dyDescent="0.3">
      <c r="A971" t="s">
        <v>699</v>
      </c>
      <c r="B971" s="1">
        <v>45932</v>
      </c>
      <c r="C971" t="s">
        <v>700</v>
      </c>
      <c r="D971" t="s">
        <v>58</v>
      </c>
      <c r="E971" t="s">
        <v>59</v>
      </c>
      <c r="F971" t="s">
        <v>60</v>
      </c>
      <c r="G971" t="s">
        <v>61</v>
      </c>
      <c r="H971" t="s">
        <v>98</v>
      </c>
      <c r="I971" t="s">
        <v>99</v>
      </c>
      <c r="J971" s="2">
        <v>120000</v>
      </c>
      <c r="K971">
        <v>4</v>
      </c>
      <c r="L971" s="2">
        <v>0</v>
      </c>
      <c r="M971" s="2">
        <v>27555.88</v>
      </c>
      <c r="N971" t="s">
        <v>45</v>
      </c>
      <c r="O971" t="s">
        <v>105</v>
      </c>
      <c r="P971" t="s">
        <v>26</v>
      </c>
    </row>
    <row r="972" spans="1:16" x14ac:dyDescent="0.3">
      <c r="A972" t="s">
        <v>792</v>
      </c>
      <c r="B972" s="1">
        <v>45993</v>
      </c>
      <c r="C972" t="s">
        <v>410</v>
      </c>
      <c r="D972" t="s">
        <v>96</v>
      </c>
      <c r="E972" t="s">
        <v>97</v>
      </c>
      <c r="F972" t="s">
        <v>20</v>
      </c>
      <c r="G972" t="s">
        <v>32</v>
      </c>
      <c r="H972" t="s">
        <v>33</v>
      </c>
      <c r="I972" t="s">
        <v>34</v>
      </c>
      <c r="J972" s="2">
        <v>37200</v>
      </c>
      <c r="K972">
        <v>6</v>
      </c>
      <c r="L972" s="2">
        <v>0</v>
      </c>
      <c r="M972" s="2">
        <v>9314.0499999999993</v>
      </c>
      <c r="N972" t="s">
        <v>114</v>
      </c>
      <c r="O972" t="s">
        <v>36</v>
      </c>
      <c r="P972" t="s">
        <v>55</v>
      </c>
    </row>
    <row r="973" spans="1:16" x14ac:dyDescent="0.3">
      <c r="A973" t="s">
        <v>550</v>
      </c>
      <c r="B973" s="1">
        <v>45861</v>
      </c>
      <c r="C973" t="s">
        <v>551</v>
      </c>
      <c r="D973" t="s">
        <v>68</v>
      </c>
      <c r="E973" t="s">
        <v>69</v>
      </c>
      <c r="F973" t="s">
        <v>41</v>
      </c>
      <c r="G973" t="s">
        <v>32</v>
      </c>
      <c r="H973" t="s">
        <v>84</v>
      </c>
      <c r="I973" t="s">
        <v>85</v>
      </c>
      <c r="J973" s="2">
        <v>22500</v>
      </c>
      <c r="K973">
        <v>2</v>
      </c>
      <c r="L973" s="2">
        <v>0.1</v>
      </c>
      <c r="M973" s="2">
        <v>5095.7299999999996</v>
      </c>
      <c r="N973" t="s">
        <v>64</v>
      </c>
      <c r="O973" t="s">
        <v>25</v>
      </c>
      <c r="P973" t="s">
        <v>26</v>
      </c>
    </row>
    <row r="974" spans="1:16" x14ac:dyDescent="0.3">
      <c r="A974" t="s">
        <v>675</v>
      </c>
      <c r="B974" s="1">
        <v>45924</v>
      </c>
      <c r="C974" t="s">
        <v>676</v>
      </c>
      <c r="D974" t="s">
        <v>91</v>
      </c>
      <c r="E974" t="s">
        <v>91</v>
      </c>
      <c r="F974" t="s">
        <v>60</v>
      </c>
      <c r="G974" t="s">
        <v>76</v>
      </c>
      <c r="H974" t="s">
        <v>77</v>
      </c>
      <c r="I974" t="s">
        <v>78</v>
      </c>
      <c r="J974" s="2">
        <v>1920</v>
      </c>
      <c r="K974">
        <v>1</v>
      </c>
      <c r="L974" s="2">
        <v>0.2</v>
      </c>
      <c r="M974" s="2">
        <v>464.26</v>
      </c>
      <c r="N974" t="s">
        <v>114</v>
      </c>
      <c r="O974" t="s">
        <v>65</v>
      </c>
      <c r="P974" t="s">
        <v>55</v>
      </c>
    </row>
    <row r="975" spans="1:16" x14ac:dyDescent="0.3">
      <c r="A975" t="s">
        <v>777</v>
      </c>
      <c r="B975" s="1">
        <v>45984</v>
      </c>
      <c r="C975" t="s">
        <v>49</v>
      </c>
      <c r="D975" t="s">
        <v>74</v>
      </c>
      <c r="E975" t="s">
        <v>75</v>
      </c>
      <c r="F975" t="s">
        <v>20</v>
      </c>
      <c r="G975" t="s">
        <v>21</v>
      </c>
      <c r="H975" t="s">
        <v>22</v>
      </c>
      <c r="I975" t="s">
        <v>23</v>
      </c>
      <c r="J975" s="2">
        <v>1282.5</v>
      </c>
      <c r="K975">
        <v>3</v>
      </c>
      <c r="L975" s="2">
        <v>0.05</v>
      </c>
      <c r="M975" s="2">
        <v>142.53</v>
      </c>
      <c r="N975" t="s">
        <v>24</v>
      </c>
      <c r="O975" t="s">
        <v>105</v>
      </c>
      <c r="P975" t="s">
        <v>55</v>
      </c>
    </row>
    <row r="976" spans="1:16" x14ac:dyDescent="0.3">
      <c r="A976" t="s">
        <v>360</v>
      </c>
      <c r="B976" s="1">
        <v>45762</v>
      </c>
      <c r="C976" t="s">
        <v>361</v>
      </c>
      <c r="D976" t="s">
        <v>134</v>
      </c>
      <c r="E976" t="s">
        <v>75</v>
      </c>
      <c r="F976" t="s">
        <v>20</v>
      </c>
      <c r="G976" t="s">
        <v>32</v>
      </c>
      <c r="H976" t="s">
        <v>84</v>
      </c>
      <c r="I976" t="s">
        <v>85</v>
      </c>
      <c r="J976" s="2">
        <v>11250</v>
      </c>
      <c r="K976">
        <v>1</v>
      </c>
      <c r="L976" s="2">
        <v>0.1</v>
      </c>
      <c r="M976" s="2">
        <v>2892.98</v>
      </c>
      <c r="N976" t="s">
        <v>45</v>
      </c>
      <c r="O976" t="s">
        <v>86</v>
      </c>
      <c r="P976" t="s">
        <v>26</v>
      </c>
    </row>
    <row r="977" spans="1:16" x14ac:dyDescent="0.3">
      <c r="A977" t="s">
        <v>1212</v>
      </c>
      <c r="B977" s="1">
        <v>46253</v>
      </c>
      <c r="C977" t="s">
        <v>749</v>
      </c>
      <c r="D977" t="s">
        <v>119</v>
      </c>
      <c r="E977" t="s">
        <v>75</v>
      </c>
      <c r="F977" t="s">
        <v>20</v>
      </c>
      <c r="G977" t="s">
        <v>61</v>
      </c>
      <c r="H977" t="s">
        <v>98</v>
      </c>
      <c r="I977" t="s">
        <v>99</v>
      </c>
      <c r="J977" s="2">
        <v>135000</v>
      </c>
      <c r="K977">
        <v>5</v>
      </c>
      <c r="L977" s="2">
        <v>0.1</v>
      </c>
      <c r="M977" s="2">
        <v>10495.26</v>
      </c>
      <c r="N977" t="s">
        <v>64</v>
      </c>
      <c r="O977" t="s">
        <v>36</v>
      </c>
      <c r="P977" t="s">
        <v>26</v>
      </c>
    </row>
    <row r="978" spans="1:16" x14ac:dyDescent="0.3">
      <c r="A978" t="s">
        <v>583</v>
      </c>
      <c r="B978" s="1">
        <v>45874</v>
      </c>
      <c r="C978" t="s">
        <v>278</v>
      </c>
      <c r="D978" t="s">
        <v>96</v>
      </c>
      <c r="E978" t="s">
        <v>97</v>
      </c>
      <c r="F978" t="s">
        <v>20</v>
      </c>
      <c r="G978" t="s">
        <v>61</v>
      </c>
      <c r="H978" t="s">
        <v>128</v>
      </c>
      <c r="I978" t="s">
        <v>129</v>
      </c>
      <c r="J978" s="2">
        <v>265200</v>
      </c>
      <c r="K978">
        <v>6</v>
      </c>
      <c r="L978" s="2">
        <v>0.15</v>
      </c>
      <c r="M978" s="2">
        <v>68899.210000000006</v>
      </c>
      <c r="N978" t="s">
        <v>35</v>
      </c>
      <c r="O978" t="s">
        <v>135</v>
      </c>
      <c r="P978" t="s">
        <v>55</v>
      </c>
    </row>
    <row r="979" spans="1:16" x14ac:dyDescent="0.3">
      <c r="A979" t="s">
        <v>1198</v>
      </c>
      <c r="B979" s="1">
        <v>46241</v>
      </c>
      <c r="C979" t="s">
        <v>207</v>
      </c>
      <c r="D979" t="s">
        <v>152</v>
      </c>
      <c r="E979" t="s">
        <v>153</v>
      </c>
      <c r="F979" t="s">
        <v>20</v>
      </c>
      <c r="G979" t="s">
        <v>21</v>
      </c>
      <c r="H979" t="s">
        <v>175</v>
      </c>
      <c r="I979" t="s">
        <v>176</v>
      </c>
      <c r="J979" s="2">
        <v>1170</v>
      </c>
      <c r="K979">
        <v>2</v>
      </c>
      <c r="L979" s="2">
        <v>0.1</v>
      </c>
      <c r="M979" s="2">
        <v>104.53</v>
      </c>
      <c r="N979" t="s">
        <v>24</v>
      </c>
      <c r="O979" t="s">
        <v>36</v>
      </c>
      <c r="P979" t="s">
        <v>55</v>
      </c>
    </row>
    <row r="980" spans="1:16" x14ac:dyDescent="0.3">
      <c r="A980" t="s">
        <v>908</v>
      </c>
      <c r="B980" s="1">
        <v>46060</v>
      </c>
      <c r="C980" t="s">
        <v>238</v>
      </c>
      <c r="D980" t="s">
        <v>58</v>
      </c>
      <c r="E980" t="s">
        <v>59</v>
      </c>
      <c r="F980" t="s">
        <v>60</v>
      </c>
      <c r="G980" t="s">
        <v>32</v>
      </c>
      <c r="H980" t="s">
        <v>84</v>
      </c>
      <c r="I980" t="s">
        <v>85</v>
      </c>
      <c r="J980" s="2">
        <v>53125</v>
      </c>
      <c r="K980">
        <v>5</v>
      </c>
      <c r="L980" s="2">
        <v>0.15</v>
      </c>
      <c r="M980" s="2">
        <v>10902.7</v>
      </c>
      <c r="N980" t="s">
        <v>35</v>
      </c>
      <c r="O980" t="s">
        <v>108</v>
      </c>
      <c r="P980" t="s">
        <v>26</v>
      </c>
    </row>
    <row r="981" spans="1:16" x14ac:dyDescent="0.3">
      <c r="A981" t="s">
        <v>683</v>
      </c>
      <c r="B981" s="1">
        <v>45926</v>
      </c>
      <c r="C981" t="s">
        <v>684</v>
      </c>
      <c r="D981" t="s">
        <v>29</v>
      </c>
      <c r="E981" t="s">
        <v>30</v>
      </c>
      <c r="F981" t="s">
        <v>31</v>
      </c>
      <c r="G981" t="s">
        <v>32</v>
      </c>
      <c r="H981" t="s">
        <v>92</v>
      </c>
      <c r="I981" t="s">
        <v>93</v>
      </c>
      <c r="J981" s="2">
        <v>46000</v>
      </c>
      <c r="K981">
        <v>4</v>
      </c>
      <c r="L981" s="2">
        <v>0</v>
      </c>
      <c r="M981" s="2">
        <v>12838.75</v>
      </c>
      <c r="N981" t="s">
        <v>64</v>
      </c>
      <c r="O981" t="s">
        <v>79</v>
      </c>
      <c r="P981" t="s">
        <v>55</v>
      </c>
    </row>
    <row r="982" spans="1:16" x14ac:dyDescent="0.3">
      <c r="A982" t="s">
        <v>291</v>
      </c>
      <c r="B982" s="1">
        <v>45738</v>
      </c>
      <c r="C982" t="s">
        <v>292</v>
      </c>
      <c r="D982" t="s">
        <v>96</v>
      </c>
      <c r="E982" t="s">
        <v>97</v>
      </c>
      <c r="F982" t="s">
        <v>20</v>
      </c>
      <c r="G982" t="s">
        <v>76</v>
      </c>
      <c r="H982" t="s">
        <v>122</v>
      </c>
      <c r="I982" t="s">
        <v>123</v>
      </c>
      <c r="J982" s="2">
        <v>3960</v>
      </c>
      <c r="K982">
        <v>2</v>
      </c>
      <c r="L982" s="2">
        <v>0.1</v>
      </c>
      <c r="M982" s="2">
        <v>372.29</v>
      </c>
      <c r="N982" t="s">
        <v>45</v>
      </c>
      <c r="O982" t="s">
        <v>36</v>
      </c>
      <c r="P982" t="s">
        <v>47</v>
      </c>
    </row>
    <row r="983" spans="1:16" x14ac:dyDescent="0.3">
      <c r="A983" t="s">
        <v>938</v>
      </c>
      <c r="B983" s="1">
        <v>46079</v>
      </c>
      <c r="C983" t="s">
        <v>265</v>
      </c>
      <c r="D983" t="s">
        <v>68</v>
      </c>
      <c r="E983" t="s">
        <v>69</v>
      </c>
      <c r="F983" t="s">
        <v>41</v>
      </c>
      <c r="G983" t="s">
        <v>21</v>
      </c>
      <c r="H983" t="s">
        <v>22</v>
      </c>
      <c r="I983" t="s">
        <v>111</v>
      </c>
      <c r="J983" s="2">
        <v>600</v>
      </c>
      <c r="K983">
        <v>2</v>
      </c>
      <c r="L983" s="2">
        <v>0</v>
      </c>
      <c r="M983" s="2">
        <v>116.88</v>
      </c>
      <c r="N983" t="s">
        <v>114</v>
      </c>
      <c r="O983" t="s">
        <v>46</v>
      </c>
      <c r="P983" t="s">
        <v>47</v>
      </c>
    </row>
    <row r="984" spans="1:16" x14ac:dyDescent="0.3">
      <c r="A984" t="s">
        <v>167</v>
      </c>
      <c r="B984" s="1">
        <v>45694</v>
      </c>
      <c r="C984" t="s">
        <v>168</v>
      </c>
      <c r="D984" t="s">
        <v>104</v>
      </c>
      <c r="E984" t="s">
        <v>83</v>
      </c>
      <c r="F984" t="s">
        <v>52</v>
      </c>
      <c r="G984" t="s">
        <v>42</v>
      </c>
      <c r="H984" t="s">
        <v>53</v>
      </c>
      <c r="I984" t="s">
        <v>120</v>
      </c>
      <c r="J984" s="2">
        <v>3780</v>
      </c>
      <c r="K984">
        <v>1</v>
      </c>
      <c r="L984" s="2">
        <v>0.1</v>
      </c>
      <c r="M984" s="2">
        <v>995.58</v>
      </c>
      <c r="N984" t="s">
        <v>114</v>
      </c>
      <c r="O984" t="s">
        <v>86</v>
      </c>
      <c r="P984" t="s">
        <v>55</v>
      </c>
    </row>
    <row r="985" spans="1:16" x14ac:dyDescent="0.3">
      <c r="A985" t="s">
        <v>578</v>
      </c>
      <c r="B985" s="1">
        <v>45872</v>
      </c>
      <c r="C985" t="s">
        <v>412</v>
      </c>
      <c r="D985" t="s">
        <v>68</v>
      </c>
      <c r="E985" t="s">
        <v>69</v>
      </c>
      <c r="F985" t="s">
        <v>41</v>
      </c>
      <c r="G985" t="s">
        <v>61</v>
      </c>
      <c r="H985" t="s">
        <v>128</v>
      </c>
      <c r="I985" t="s">
        <v>129</v>
      </c>
      <c r="J985" s="2">
        <v>140400</v>
      </c>
      <c r="K985">
        <v>3</v>
      </c>
      <c r="L985" s="2">
        <v>0.1</v>
      </c>
      <c r="M985" s="2">
        <v>14988.42</v>
      </c>
      <c r="N985" t="s">
        <v>35</v>
      </c>
      <c r="O985" t="s">
        <v>25</v>
      </c>
      <c r="P985" t="s">
        <v>47</v>
      </c>
    </row>
    <row r="986" spans="1:16" x14ac:dyDescent="0.3">
      <c r="A986" t="s">
        <v>230</v>
      </c>
      <c r="B986" s="1">
        <v>45720</v>
      </c>
      <c r="C986" t="s">
        <v>231</v>
      </c>
      <c r="D986" t="s">
        <v>82</v>
      </c>
      <c r="E986" t="s">
        <v>83</v>
      </c>
      <c r="F986" t="s">
        <v>52</v>
      </c>
      <c r="G986" t="s">
        <v>32</v>
      </c>
      <c r="H986" t="s">
        <v>84</v>
      </c>
      <c r="I986" t="s">
        <v>140</v>
      </c>
      <c r="J986" s="2">
        <v>20250</v>
      </c>
      <c r="K986">
        <v>3</v>
      </c>
      <c r="L986" s="2">
        <v>0.1</v>
      </c>
      <c r="M986" s="2">
        <v>4965.66</v>
      </c>
      <c r="N986" t="s">
        <v>114</v>
      </c>
      <c r="O986" t="s">
        <v>86</v>
      </c>
      <c r="P986" t="s">
        <v>47</v>
      </c>
    </row>
    <row r="987" spans="1:16" x14ac:dyDescent="0.3">
      <c r="A987" t="s">
        <v>1129</v>
      </c>
      <c r="B987" s="1">
        <v>46197</v>
      </c>
      <c r="C987" t="s">
        <v>678</v>
      </c>
      <c r="D987" t="s">
        <v>50</v>
      </c>
      <c r="E987" t="s">
        <v>51</v>
      </c>
      <c r="F987" t="s">
        <v>52</v>
      </c>
      <c r="G987" t="s">
        <v>42</v>
      </c>
      <c r="H987" t="s">
        <v>279</v>
      </c>
      <c r="I987" t="s">
        <v>280</v>
      </c>
      <c r="J987" s="2">
        <v>50000</v>
      </c>
      <c r="K987">
        <v>4</v>
      </c>
      <c r="L987" s="2">
        <v>0</v>
      </c>
      <c r="M987" s="2">
        <v>11177.61</v>
      </c>
      <c r="N987" t="s">
        <v>114</v>
      </c>
      <c r="O987" t="s">
        <v>65</v>
      </c>
      <c r="P987" t="s">
        <v>26</v>
      </c>
    </row>
    <row r="988" spans="1:16" x14ac:dyDescent="0.3">
      <c r="A988" t="s">
        <v>1177</v>
      </c>
      <c r="B988" s="1">
        <v>46226</v>
      </c>
      <c r="C988" t="s">
        <v>848</v>
      </c>
      <c r="D988" t="s">
        <v>96</v>
      </c>
      <c r="E988" t="s">
        <v>97</v>
      </c>
      <c r="F988" t="s">
        <v>20</v>
      </c>
      <c r="G988" t="s">
        <v>21</v>
      </c>
      <c r="H988" t="s">
        <v>175</v>
      </c>
      <c r="I988" t="s">
        <v>176</v>
      </c>
      <c r="J988" s="2">
        <v>2762.5</v>
      </c>
      <c r="K988">
        <v>5</v>
      </c>
      <c r="L988" s="2">
        <v>0.15</v>
      </c>
      <c r="M988" s="2">
        <v>350.16</v>
      </c>
      <c r="N988" t="s">
        <v>24</v>
      </c>
      <c r="O988" t="s">
        <v>86</v>
      </c>
      <c r="P988" t="s">
        <v>55</v>
      </c>
    </row>
    <row r="989" spans="1:16" x14ac:dyDescent="0.3">
      <c r="A989" t="s">
        <v>695</v>
      </c>
      <c r="B989" s="1">
        <v>45930</v>
      </c>
      <c r="C989" t="s">
        <v>696</v>
      </c>
      <c r="D989" t="s">
        <v>119</v>
      </c>
      <c r="E989" t="s">
        <v>75</v>
      </c>
      <c r="F989" t="s">
        <v>20</v>
      </c>
      <c r="G989" t="s">
        <v>61</v>
      </c>
      <c r="H989" t="s">
        <v>98</v>
      </c>
      <c r="I989" t="s">
        <v>156</v>
      </c>
      <c r="J989" s="2">
        <v>205200</v>
      </c>
      <c r="K989">
        <v>6</v>
      </c>
      <c r="L989" s="2">
        <v>0.1</v>
      </c>
      <c r="M989" s="2">
        <v>53653.33</v>
      </c>
      <c r="N989" t="s">
        <v>114</v>
      </c>
      <c r="O989" t="s">
        <v>105</v>
      </c>
      <c r="P989" t="s">
        <v>26</v>
      </c>
    </row>
    <row r="990" spans="1:16" x14ac:dyDescent="0.3">
      <c r="A990" t="s">
        <v>16</v>
      </c>
      <c r="B990" s="1">
        <v>45658</v>
      </c>
      <c r="C990" t="s">
        <v>17</v>
      </c>
      <c r="D990" t="s">
        <v>18</v>
      </c>
      <c r="E990" t="s">
        <v>19</v>
      </c>
      <c r="F990" t="s">
        <v>20</v>
      </c>
      <c r="G990" t="s">
        <v>21</v>
      </c>
      <c r="H990" t="s">
        <v>22</v>
      </c>
      <c r="I990" t="s">
        <v>23</v>
      </c>
      <c r="J990" s="2">
        <v>855</v>
      </c>
      <c r="K990">
        <v>2</v>
      </c>
      <c r="L990" s="2">
        <v>0.05</v>
      </c>
      <c r="M990" s="2">
        <v>162.49</v>
      </c>
      <c r="N990" t="s">
        <v>24</v>
      </c>
      <c r="O990" t="s">
        <v>25</v>
      </c>
      <c r="P990" t="s">
        <v>26</v>
      </c>
    </row>
    <row r="991" spans="1:16" x14ac:dyDescent="0.3">
      <c r="A991" t="s">
        <v>1159</v>
      </c>
      <c r="B991" s="1">
        <v>46214</v>
      </c>
      <c r="C991" t="s">
        <v>521</v>
      </c>
      <c r="D991" t="s">
        <v>152</v>
      </c>
      <c r="E991" t="s">
        <v>153</v>
      </c>
      <c r="F991" t="s">
        <v>20</v>
      </c>
      <c r="G991" t="s">
        <v>61</v>
      </c>
      <c r="H991" t="s">
        <v>98</v>
      </c>
      <c r="I991" t="s">
        <v>99</v>
      </c>
      <c r="J991" s="2">
        <v>54000</v>
      </c>
      <c r="K991">
        <v>2</v>
      </c>
      <c r="L991" s="2">
        <v>0.1</v>
      </c>
      <c r="M991" s="2">
        <v>10890.74</v>
      </c>
      <c r="N991" t="s">
        <v>24</v>
      </c>
      <c r="O991" t="s">
        <v>86</v>
      </c>
      <c r="P991" t="s">
        <v>26</v>
      </c>
    </row>
    <row r="992" spans="1:16" x14ac:dyDescent="0.3">
      <c r="A992" t="s">
        <v>373</v>
      </c>
      <c r="B992" s="1">
        <v>45768</v>
      </c>
      <c r="C992" t="s">
        <v>263</v>
      </c>
      <c r="D992" t="s">
        <v>18</v>
      </c>
      <c r="E992" t="s">
        <v>19</v>
      </c>
      <c r="F992" t="s">
        <v>20</v>
      </c>
      <c r="G992" t="s">
        <v>61</v>
      </c>
      <c r="H992" t="s">
        <v>62</v>
      </c>
      <c r="I992" t="s">
        <v>63</v>
      </c>
      <c r="J992" s="2">
        <v>3420</v>
      </c>
      <c r="K992">
        <v>4</v>
      </c>
      <c r="L992" s="2">
        <v>0.05</v>
      </c>
      <c r="M992" s="2">
        <v>607.35</v>
      </c>
      <c r="N992" t="s">
        <v>35</v>
      </c>
      <c r="O992" t="s">
        <v>65</v>
      </c>
      <c r="P992" t="s">
        <v>47</v>
      </c>
    </row>
    <row r="993" spans="1:16" x14ac:dyDescent="0.3">
      <c r="A993" t="s">
        <v>1380</v>
      </c>
      <c r="B993" s="1">
        <v>46380</v>
      </c>
      <c r="C993" t="s">
        <v>370</v>
      </c>
      <c r="D993" t="s">
        <v>68</v>
      </c>
      <c r="E993" t="s">
        <v>69</v>
      </c>
      <c r="F993" t="s">
        <v>41</v>
      </c>
      <c r="G993" t="s">
        <v>32</v>
      </c>
      <c r="H993" t="s">
        <v>33</v>
      </c>
      <c r="I993" t="s">
        <v>34</v>
      </c>
      <c r="J993" s="2">
        <v>11160</v>
      </c>
      <c r="K993">
        <v>2</v>
      </c>
      <c r="L993" s="2">
        <v>0.1</v>
      </c>
      <c r="M993" s="2">
        <v>2537.83</v>
      </c>
      <c r="N993" t="s">
        <v>64</v>
      </c>
      <c r="O993" t="s">
        <v>79</v>
      </c>
      <c r="P993" t="s">
        <v>47</v>
      </c>
    </row>
    <row r="994" spans="1:16" x14ac:dyDescent="0.3">
      <c r="A994" t="s">
        <v>1246</v>
      </c>
      <c r="B994" s="1">
        <v>46283</v>
      </c>
      <c r="C994" t="s">
        <v>1027</v>
      </c>
      <c r="D994" t="s">
        <v>166</v>
      </c>
      <c r="E994" t="s">
        <v>75</v>
      </c>
      <c r="F994" t="s">
        <v>20</v>
      </c>
      <c r="G994" t="s">
        <v>61</v>
      </c>
      <c r="H994" t="s">
        <v>98</v>
      </c>
      <c r="I994" t="s">
        <v>99</v>
      </c>
      <c r="J994" s="2">
        <v>108000</v>
      </c>
      <c r="K994">
        <v>4</v>
      </c>
      <c r="L994" s="2">
        <v>0.1</v>
      </c>
      <c r="M994" s="2">
        <v>20862.150000000001</v>
      </c>
      <c r="N994" t="s">
        <v>45</v>
      </c>
      <c r="O994" t="s">
        <v>71</v>
      </c>
      <c r="P994" t="s">
        <v>55</v>
      </c>
    </row>
    <row r="995" spans="1:16" x14ac:dyDescent="0.3">
      <c r="A995" t="s">
        <v>1010</v>
      </c>
      <c r="B995" s="1">
        <v>46128</v>
      </c>
      <c r="C995" t="s">
        <v>1011</v>
      </c>
      <c r="D995" t="s">
        <v>152</v>
      </c>
      <c r="E995" t="s">
        <v>153</v>
      </c>
      <c r="F995" t="s">
        <v>20</v>
      </c>
      <c r="G995" t="s">
        <v>42</v>
      </c>
      <c r="H995" t="s">
        <v>43</v>
      </c>
      <c r="I995" t="s">
        <v>44</v>
      </c>
      <c r="J995" s="2">
        <v>30600</v>
      </c>
      <c r="K995">
        <v>4</v>
      </c>
      <c r="L995" s="2">
        <v>0.1</v>
      </c>
      <c r="M995" s="2">
        <v>4560.26</v>
      </c>
      <c r="N995" t="s">
        <v>24</v>
      </c>
      <c r="O995" t="s">
        <v>46</v>
      </c>
      <c r="P995" t="s">
        <v>47</v>
      </c>
    </row>
    <row r="996" spans="1:16" x14ac:dyDescent="0.3">
      <c r="A996" t="s">
        <v>1337</v>
      </c>
      <c r="B996" s="1">
        <v>46343</v>
      </c>
      <c r="C996" t="s">
        <v>186</v>
      </c>
      <c r="D996" t="s">
        <v>152</v>
      </c>
      <c r="E996" t="s">
        <v>153</v>
      </c>
      <c r="F996" t="s">
        <v>20</v>
      </c>
      <c r="G996" t="s">
        <v>76</v>
      </c>
      <c r="H996" t="s">
        <v>122</v>
      </c>
      <c r="I996" t="s">
        <v>217</v>
      </c>
      <c r="J996" s="2">
        <v>5130</v>
      </c>
      <c r="K996">
        <v>3</v>
      </c>
      <c r="L996" s="2">
        <v>0.05</v>
      </c>
      <c r="M996" s="2">
        <v>697.74</v>
      </c>
      <c r="N996" t="s">
        <v>45</v>
      </c>
      <c r="O996" t="s">
        <v>25</v>
      </c>
      <c r="P996" t="s">
        <v>47</v>
      </c>
    </row>
    <row r="997" spans="1:16" x14ac:dyDescent="0.3">
      <c r="A997" t="s">
        <v>1045</v>
      </c>
      <c r="B997" s="1">
        <v>46142</v>
      </c>
      <c r="C997" t="s">
        <v>676</v>
      </c>
      <c r="D997" t="s">
        <v>96</v>
      </c>
      <c r="E997" t="s">
        <v>97</v>
      </c>
      <c r="F997" t="s">
        <v>20</v>
      </c>
      <c r="G997" t="s">
        <v>42</v>
      </c>
      <c r="H997" t="s">
        <v>279</v>
      </c>
      <c r="I997" t="s">
        <v>280</v>
      </c>
      <c r="J997" s="2">
        <v>10625</v>
      </c>
      <c r="K997">
        <v>1</v>
      </c>
      <c r="L997" s="2">
        <v>0.15</v>
      </c>
      <c r="M997" s="2">
        <v>2526.64</v>
      </c>
      <c r="N997" t="s">
        <v>24</v>
      </c>
      <c r="O997" t="s">
        <v>71</v>
      </c>
      <c r="P997" t="s">
        <v>26</v>
      </c>
    </row>
    <row r="998" spans="1:16" x14ac:dyDescent="0.3">
      <c r="A998" t="s">
        <v>1158</v>
      </c>
      <c r="B998" s="1">
        <v>46213</v>
      </c>
      <c r="C998" t="s">
        <v>278</v>
      </c>
      <c r="D998" t="s">
        <v>29</v>
      </c>
      <c r="E998" t="s">
        <v>30</v>
      </c>
      <c r="F998" t="s">
        <v>31</v>
      </c>
      <c r="G998" t="s">
        <v>21</v>
      </c>
      <c r="H998" t="s">
        <v>179</v>
      </c>
      <c r="I998" t="s">
        <v>180</v>
      </c>
      <c r="J998" s="2">
        <v>6120</v>
      </c>
      <c r="K998">
        <v>3</v>
      </c>
      <c r="L998" s="2">
        <v>0.15</v>
      </c>
      <c r="M998" s="2">
        <v>423.9</v>
      </c>
      <c r="N998" t="s">
        <v>45</v>
      </c>
      <c r="O998" t="s">
        <v>79</v>
      </c>
      <c r="P998" t="s">
        <v>26</v>
      </c>
    </row>
    <row r="999" spans="1:16" x14ac:dyDescent="0.3">
      <c r="A999" t="s">
        <v>640</v>
      </c>
      <c r="B999" s="1">
        <v>45902</v>
      </c>
      <c r="C999" t="s">
        <v>441</v>
      </c>
      <c r="D999" t="s">
        <v>18</v>
      </c>
      <c r="E999" t="s">
        <v>19</v>
      </c>
      <c r="F999" t="s">
        <v>20</v>
      </c>
      <c r="G999" t="s">
        <v>21</v>
      </c>
      <c r="H999" t="s">
        <v>22</v>
      </c>
      <c r="I999" t="s">
        <v>111</v>
      </c>
      <c r="J999" s="2">
        <v>810</v>
      </c>
      <c r="K999">
        <v>3</v>
      </c>
      <c r="L999" s="2">
        <v>0.1</v>
      </c>
      <c r="M999" s="2">
        <v>123.74</v>
      </c>
      <c r="N999" t="s">
        <v>35</v>
      </c>
      <c r="O999" t="s">
        <v>108</v>
      </c>
      <c r="P999" t="s">
        <v>55</v>
      </c>
    </row>
    <row r="1000" spans="1:16" x14ac:dyDescent="0.3">
      <c r="A1000" t="s">
        <v>1374</v>
      </c>
      <c r="B1000" s="1">
        <v>46373</v>
      </c>
      <c r="C1000" t="s">
        <v>251</v>
      </c>
      <c r="D1000" t="s">
        <v>18</v>
      </c>
      <c r="E1000" t="s">
        <v>19</v>
      </c>
      <c r="F1000" t="s">
        <v>20</v>
      </c>
      <c r="G1000" t="s">
        <v>76</v>
      </c>
      <c r="H1000" t="s">
        <v>122</v>
      </c>
      <c r="I1000" t="s">
        <v>123</v>
      </c>
      <c r="J1000" s="2">
        <v>4400</v>
      </c>
      <c r="K1000">
        <v>2</v>
      </c>
      <c r="L1000" s="2">
        <v>0</v>
      </c>
      <c r="M1000" s="2">
        <v>970.06</v>
      </c>
      <c r="N1000" t="s">
        <v>35</v>
      </c>
      <c r="O1000" t="s">
        <v>25</v>
      </c>
      <c r="P1000" t="s">
        <v>47</v>
      </c>
    </row>
    <row r="1001" spans="1:16" x14ac:dyDescent="0.3">
      <c r="A1001" t="s">
        <v>288</v>
      </c>
      <c r="B1001" s="1">
        <v>45738</v>
      </c>
      <c r="C1001" t="s">
        <v>289</v>
      </c>
      <c r="D1001" t="s">
        <v>68</v>
      </c>
      <c r="E1001" t="s">
        <v>69</v>
      </c>
      <c r="F1001" t="s">
        <v>41</v>
      </c>
      <c r="G1001" t="s">
        <v>61</v>
      </c>
      <c r="H1001" t="s">
        <v>62</v>
      </c>
      <c r="I1001" t="s">
        <v>63</v>
      </c>
      <c r="J1001" s="2">
        <v>765</v>
      </c>
      <c r="K1001">
        <v>1</v>
      </c>
      <c r="L1001" s="2">
        <v>0.15</v>
      </c>
      <c r="M1001" s="2">
        <v>182.12</v>
      </c>
      <c r="N1001" t="s">
        <v>45</v>
      </c>
      <c r="O1001" t="s">
        <v>108</v>
      </c>
      <c r="P1001" t="s">
        <v>55</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C5213-632F-4357-A894-3C21E846EA35}">
  <dimension ref="A1:Q24"/>
  <sheetViews>
    <sheetView zoomScale="71" workbookViewId="0">
      <selection activeCell="Q25" sqref="Q25"/>
    </sheetView>
  </sheetViews>
  <sheetFormatPr defaultRowHeight="14.4" x14ac:dyDescent="0.3"/>
  <cols>
    <col min="1" max="1" width="13.77734375" bestFit="1" customWidth="1"/>
    <col min="2" max="2" width="14" bestFit="1" customWidth="1"/>
    <col min="3" max="3" width="16.33203125" bestFit="1" customWidth="1"/>
    <col min="4" max="4" width="13.88671875" bestFit="1" customWidth="1"/>
    <col min="5" max="5" width="15.77734375" bestFit="1" customWidth="1"/>
    <col min="6" max="6" width="15" bestFit="1" customWidth="1"/>
    <col min="8" max="8" width="15.77734375" bestFit="1" customWidth="1"/>
    <col min="9" max="9" width="12.33203125" bestFit="1" customWidth="1"/>
    <col min="11" max="11" width="16.33203125" bestFit="1" customWidth="1"/>
    <col min="12" max="12" width="16.5546875" bestFit="1" customWidth="1"/>
    <col min="13" max="13" width="10.109375" bestFit="1" customWidth="1"/>
    <col min="14" max="14" width="9.21875" bestFit="1" customWidth="1"/>
    <col min="15" max="15" width="15.88671875" bestFit="1" customWidth="1"/>
    <col min="16" max="16" width="13.5546875" bestFit="1" customWidth="1"/>
    <col min="17" max="17" width="10.88671875" bestFit="1" customWidth="1"/>
    <col min="18" max="18" width="12.33203125" bestFit="1" customWidth="1"/>
    <col min="19" max="19" width="16.33203125" bestFit="1" customWidth="1"/>
    <col min="20" max="20" width="16.5546875" bestFit="1" customWidth="1"/>
    <col min="21" max="21" width="10.77734375" bestFit="1" customWidth="1"/>
    <col min="22" max="22" width="10.109375" bestFit="1" customWidth="1"/>
    <col min="23" max="23" width="11.33203125" bestFit="1" customWidth="1"/>
    <col min="24" max="24" width="4.33203125" bestFit="1" customWidth="1"/>
    <col min="25" max="25" width="10.88671875" bestFit="1" customWidth="1"/>
    <col min="26" max="287" width="11.109375" bestFit="1" customWidth="1"/>
    <col min="288" max="288" width="11.21875" bestFit="1" customWidth="1"/>
    <col min="289" max="555" width="11.109375" bestFit="1" customWidth="1"/>
    <col min="556" max="556" width="12.33203125" bestFit="1" customWidth="1"/>
  </cols>
  <sheetData>
    <row r="1" spans="1:17" ht="21" x14ac:dyDescent="0.4">
      <c r="A1" s="9" t="s">
        <v>1411</v>
      </c>
      <c r="B1" s="9"/>
      <c r="C1" s="9"/>
      <c r="E1" s="20" t="s">
        <v>1420</v>
      </c>
      <c r="F1" s="21"/>
      <c r="H1" s="9" t="s">
        <v>1412</v>
      </c>
      <c r="I1" s="10"/>
      <c r="K1" s="11" t="s">
        <v>1413</v>
      </c>
      <c r="L1" s="10"/>
      <c r="M1" s="10"/>
      <c r="N1" s="10"/>
      <c r="O1" s="10"/>
      <c r="P1" s="10"/>
      <c r="Q1" s="10"/>
    </row>
    <row r="3" spans="1:17" x14ac:dyDescent="0.3">
      <c r="A3" s="3" t="s">
        <v>1393</v>
      </c>
      <c r="B3" t="s">
        <v>1408</v>
      </c>
      <c r="C3" t="s">
        <v>1407</v>
      </c>
      <c r="E3" s="3" t="s">
        <v>1393</v>
      </c>
      <c r="F3" t="s">
        <v>1410</v>
      </c>
      <c r="H3" s="3" t="s">
        <v>1393</v>
      </c>
      <c r="I3" t="s">
        <v>1415</v>
      </c>
      <c r="K3" s="3" t="s">
        <v>1407</v>
      </c>
      <c r="L3" s="3" t="s">
        <v>1409</v>
      </c>
    </row>
    <row r="4" spans="1:17" x14ac:dyDescent="0.3">
      <c r="A4" s="4" t="s">
        <v>1395</v>
      </c>
      <c r="B4" s="2">
        <v>2457672.5</v>
      </c>
      <c r="C4" s="16">
        <v>80</v>
      </c>
      <c r="E4" s="4" t="s">
        <v>91</v>
      </c>
      <c r="F4" s="2">
        <v>4.9499999999999993</v>
      </c>
      <c r="H4" s="4" t="s">
        <v>91</v>
      </c>
      <c r="I4" s="2">
        <v>336775.02999999997</v>
      </c>
      <c r="K4" s="3" t="s">
        <v>1393</v>
      </c>
      <c r="L4" t="s">
        <v>76</v>
      </c>
      <c r="M4" t="s">
        <v>61</v>
      </c>
      <c r="N4" t="s">
        <v>32</v>
      </c>
      <c r="O4" t="s">
        <v>42</v>
      </c>
      <c r="P4" t="s">
        <v>21</v>
      </c>
      <c r="Q4" t="s">
        <v>1394</v>
      </c>
    </row>
    <row r="5" spans="1:17" x14ac:dyDescent="0.3">
      <c r="A5" s="4" t="s">
        <v>1396</v>
      </c>
      <c r="B5" s="2">
        <v>2053990</v>
      </c>
      <c r="C5" s="16">
        <v>69</v>
      </c>
      <c r="E5" s="4" t="s">
        <v>51</v>
      </c>
      <c r="F5" s="2">
        <v>4.4999999999999982</v>
      </c>
      <c r="H5" s="4" t="s">
        <v>51</v>
      </c>
      <c r="I5" s="2">
        <v>295586.12</v>
      </c>
      <c r="K5" s="4" t="s">
        <v>24</v>
      </c>
      <c r="L5" s="16">
        <v>25</v>
      </c>
      <c r="M5" s="16">
        <v>68</v>
      </c>
      <c r="N5" s="16">
        <v>28</v>
      </c>
      <c r="O5" s="16">
        <v>38</v>
      </c>
      <c r="P5" s="16">
        <v>49</v>
      </c>
      <c r="Q5" s="16">
        <v>208</v>
      </c>
    </row>
    <row r="6" spans="1:17" x14ac:dyDescent="0.3">
      <c r="A6" s="4" t="s">
        <v>1397</v>
      </c>
      <c r="B6" s="2">
        <v>3858527.5</v>
      </c>
      <c r="C6" s="16">
        <v>93</v>
      </c>
      <c r="E6" s="4" t="s">
        <v>75</v>
      </c>
      <c r="F6" s="2">
        <v>21.300000000000026</v>
      </c>
      <c r="H6" s="4" t="s">
        <v>75</v>
      </c>
      <c r="I6" s="2">
        <v>1642871.5200000009</v>
      </c>
      <c r="K6" s="4" t="s">
        <v>35</v>
      </c>
      <c r="L6" s="16">
        <v>30</v>
      </c>
      <c r="M6" s="16">
        <v>41</v>
      </c>
      <c r="N6" s="16">
        <v>44</v>
      </c>
      <c r="O6" s="16">
        <v>30</v>
      </c>
      <c r="P6" s="16">
        <v>28</v>
      </c>
      <c r="Q6" s="16">
        <v>173</v>
      </c>
    </row>
    <row r="7" spans="1:17" x14ac:dyDescent="0.3">
      <c r="A7" s="4" t="s">
        <v>1398</v>
      </c>
      <c r="B7" s="2">
        <v>3656450</v>
      </c>
      <c r="C7" s="16">
        <v>96</v>
      </c>
      <c r="E7" s="4" t="s">
        <v>97</v>
      </c>
      <c r="F7" s="2">
        <v>5.4499999999999975</v>
      </c>
      <c r="H7" s="4" t="s">
        <v>97</v>
      </c>
      <c r="I7" s="2">
        <v>330623.40999999992</v>
      </c>
      <c r="K7" s="4" t="s">
        <v>45</v>
      </c>
      <c r="L7" s="16">
        <v>30</v>
      </c>
      <c r="M7" s="16">
        <v>47</v>
      </c>
      <c r="N7" s="16">
        <v>43</v>
      </c>
      <c r="O7" s="16">
        <v>37</v>
      </c>
      <c r="P7" s="16">
        <v>42</v>
      </c>
      <c r="Q7" s="16">
        <v>199</v>
      </c>
    </row>
    <row r="8" spans="1:17" x14ac:dyDescent="0.3">
      <c r="A8" s="4" t="s">
        <v>1399</v>
      </c>
      <c r="B8" s="2">
        <v>3283600</v>
      </c>
      <c r="C8" s="16">
        <v>102</v>
      </c>
      <c r="E8" s="4" t="s">
        <v>30</v>
      </c>
      <c r="F8" s="2">
        <v>3.7999999999999989</v>
      </c>
      <c r="H8" s="4" t="s">
        <v>30</v>
      </c>
      <c r="I8" s="2">
        <v>290643.82000000007</v>
      </c>
      <c r="K8" s="4" t="s">
        <v>114</v>
      </c>
      <c r="L8" s="16">
        <v>26</v>
      </c>
      <c r="M8" s="16">
        <v>68</v>
      </c>
      <c r="N8" s="16">
        <v>35</v>
      </c>
      <c r="O8" s="16">
        <v>46</v>
      </c>
      <c r="P8" s="16">
        <v>39</v>
      </c>
      <c r="Q8" s="16">
        <v>214</v>
      </c>
    </row>
    <row r="9" spans="1:17" x14ac:dyDescent="0.3">
      <c r="A9" s="4" t="s">
        <v>1400</v>
      </c>
      <c r="B9" s="2">
        <v>2302180</v>
      </c>
      <c r="C9" s="16">
        <v>67</v>
      </c>
      <c r="E9" s="4" t="s">
        <v>83</v>
      </c>
      <c r="F9" s="2">
        <v>9.2999999999999936</v>
      </c>
      <c r="H9" s="4" t="s">
        <v>83</v>
      </c>
      <c r="I9" s="2">
        <v>799811.45999999985</v>
      </c>
      <c r="K9" s="4" t="s">
        <v>64</v>
      </c>
      <c r="L9" s="16">
        <v>33</v>
      </c>
      <c r="M9" s="16">
        <v>54</v>
      </c>
      <c r="N9" s="16">
        <v>32</v>
      </c>
      <c r="O9" s="16">
        <v>38</v>
      </c>
      <c r="P9" s="16">
        <v>49</v>
      </c>
      <c r="Q9" s="16">
        <v>206</v>
      </c>
    </row>
    <row r="10" spans="1:17" x14ac:dyDescent="0.3">
      <c r="A10" s="4" t="s">
        <v>1401</v>
      </c>
      <c r="B10" s="2">
        <v>2418467.5</v>
      </c>
      <c r="C10" s="16">
        <v>89</v>
      </c>
      <c r="E10" s="4" t="s">
        <v>40</v>
      </c>
      <c r="F10" s="2">
        <v>6.9999999999999964</v>
      </c>
      <c r="H10" s="4" t="s">
        <v>40</v>
      </c>
      <c r="I10" s="2">
        <v>405904.68</v>
      </c>
      <c r="K10" s="4" t="s">
        <v>1394</v>
      </c>
      <c r="L10" s="16">
        <v>144</v>
      </c>
      <c r="M10" s="16">
        <v>278</v>
      </c>
      <c r="N10" s="16">
        <v>182</v>
      </c>
      <c r="O10" s="16">
        <v>189</v>
      </c>
      <c r="P10" s="16">
        <v>207</v>
      </c>
      <c r="Q10" s="16">
        <v>1000</v>
      </c>
    </row>
    <row r="11" spans="1:17" x14ac:dyDescent="0.3">
      <c r="A11" s="4" t="s">
        <v>1402</v>
      </c>
      <c r="B11" s="2">
        <v>3946550</v>
      </c>
      <c r="C11" s="16">
        <v>87</v>
      </c>
      <c r="E11" s="4" t="s">
        <v>59</v>
      </c>
      <c r="F11" s="2">
        <v>4.8999999999999995</v>
      </c>
      <c r="H11" s="4" t="s">
        <v>59</v>
      </c>
      <c r="I11" s="2">
        <v>725214.77</v>
      </c>
    </row>
    <row r="12" spans="1:17" x14ac:dyDescent="0.3">
      <c r="A12" s="4" t="s">
        <v>1403</v>
      </c>
      <c r="B12" s="2">
        <v>3116112.5</v>
      </c>
      <c r="C12" s="16">
        <v>86</v>
      </c>
      <c r="E12" s="4" t="s">
        <v>19</v>
      </c>
      <c r="F12" s="2">
        <v>5.5499999999999963</v>
      </c>
      <c r="H12" s="4" t="s">
        <v>19</v>
      </c>
      <c r="I12" s="2">
        <v>411900.72999999981</v>
      </c>
    </row>
    <row r="13" spans="1:17" x14ac:dyDescent="0.3">
      <c r="A13" s="4" t="s">
        <v>1404</v>
      </c>
      <c r="B13" s="2">
        <v>2887077.5</v>
      </c>
      <c r="C13" s="16">
        <v>82</v>
      </c>
      <c r="E13" s="4" t="s">
        <v>153</v>
      </c>
      <c r="F13" s="2">
        <v>4.3499999999999996</v>
      </c>
      <c r="H13" s="4" t="s">
        <v>153</v>
      </c>
      <c r="I13" s="2">
        <v>331859.78000000009</v>
      </c>
    </row>
    <row r="14" spans="1:17" x14ac:dyDescent="0.3">
      <c r="A14" s="4" t="s">
        <v>1405</v>
      </c>
      <c r="B14" s="2">
        <v>2722897.5</v>
      </c>
      <c r="C14" s="16">
        <v>72</v>
      </c>
      <c r="E14" s="4" t="s">
        <v>174</v>
      </c>
      <c r="F14" s="2">
        <v>4.1499999999999986</v>
      </c>
      <c r="H14" s="4" t="s">
        <v>174</v>
      </c>
      <c r="I14" s="2">
        <v>393580.5</v>
      </c>
    </row>
    <row r="15" spans="1:17" x14ac:dyDescent="0.3">
      <c r="A15" s="4" t="s">
        <v>1406</v>
      </c>
      <c r="B15" s="2">
        <v>2972965</v>
      </c>
      <c r="C15" s="16">
        <v>77</v>
      </c>
      <c r="E15" s="4" t="s">
        <v>69</v>
      </c>
      <c r="F15" s="2">
        <v>6.2499999999999964</v>
      </c>
      <c r="H15" s="4" t="s">
        <v>69</v>
      </c>
      <c r="I15" s="2">
        <v>311053.79999999976</v>
      </c>
    </row>
    <row r="16" spans="1:17" x14ac:dyDescent="0.3">
      <c r="A16" s="4" t="s">
        <v>1394</v>
      </c>
      <c r="B16" s="2">
        <v>35676490</v>
      </c>
      <c r="C16" s="16">
        <v>1000</v>
      </c>
      <c r="E16" s="4" t="s">
        <v>1394</v>
      </c>
      <c r="F16" s="2">
        <v>81.5</v>
      </c>
    </row>
    <row r="18" spans="2:3" ht="21" x14ac:dyDescent="0.4">
      <c r="B18" s="12" t="s">
        <v>1414</v>
      </c>
      <c r="C18" s="11"/>
    </row>
    <row r="20" spans="2:3" x14ac:dyDescent="0.3">
      <c r="B20" s="3" t="s">
        <v>1393</v>
      </c>
      <c r="C20" t="s">
        <v>1408</v>
      </c>
    </row>
    <row r="21" spans="2:3" x14ac:dyDescent="0.3">
      <c r="B21" s="4" t="s">
        <v>26</v>
      </c>
      <c r="C21" s="2">
        <v>13395297.5</v>
      </c>
    </row>
    <row r="22" spans="2:3" x14ac:dyDescent="0.3">
      <c r="B22" s="4" t="s">
        <v>47</v>
      </c>
      <c r="C22" s="2">
        <v>11750910</v>
      </c>
    </row>
    <row r="23" spans="2:3" x14ac:dyDescent="0.3">
      <c r="B23" s="4" t="s">
        <v>55</v>
      </c>
      <c r="C23" s="2">
        <v>10530282.5</v>
      </c>
    </row>
    <row r="24" spans="2:3" x14ac:dyDescent="0.3">
      <c r="B24" s="4" t="s">
        <v>1394</v>
      </c>
      <c r="C24" s="2">
        <v>35676490</v>
      </c>
    </row>
  </sheetData>
  <mergeCells count="5">
    <mergeCell ref="A1:C1"/>
    <mergeCell ref="E1:F1"/>
    <mergeCell ref="H1:I1"/>
    <mergeCell ref="K1:Q1"/>
    <mergeCell ref="B18:C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D1DB9-C2AA-4576-8A0F-BF89A0A25503}">
  <dimension ref="A1:V30"/>
  <sheetViews>
    <sheetView showGridLines="0" tabSelected="1" topLeftCell="A4" zoomScaleNormal="100" workbookViewId="0">
      <selection activeCell="Q7" sqref="Q7"/>
    </sheetView>
  </sheetViews>
  <sheetFormatPr defaultRowHeight="14.4" x14ac:dyDescent="0.3"/>
  <cols>
    <col min="1" max="1" width="4.44140625" customWidth="1"/>
    <col min="2" max="2" width="12.33203125" hidden="1" customWidth="1"/>
    <col min="3" max="7" width="8.88671875" hidden="1" customWidth="1"/>
    <col min="8" max="8" width="54.77734375" customWidth="1"/>
    <col min="9" max="9" width="5" customWidth="1"/>
    <col min="10" max="10" width="10.33203125" customWidth="1"/>
    <col min="11" max="11" width="21" customWidth="1"/>
    <col min="12" max="12" width="6.21875" customWidth="1"/>
    <col min="13" max="13" width="15" customWidth="1"/>
    <col min="15" max="15" width="13.109375" customWidth="1"/>
    <col min="16" max="16" width="7.88671875" customWidth="1"/>
    <col min="17" max="17" width="13.88671875" customWidth="1"/>
    <col min="18" max="18" width="17.33203125" customWidth="1"/>
  </cols>
  <sheetData>
    <row r="1" spans="1:22" ht="19.2" customHeight="1" x14ac:dyDescent="0.4">
      <c r="A1" s="7"/>
      <c r="B1" s="8"/>
      <c r="C1" s="8"/>
      <c r="D1" s="8"/>
      <c r="E1" s="8"/>
      <c r="F1" s="8"/>
      <c r="G1" s="8"/>
      <c r="H1" s="8"/>
      <c r="I1" s="8"/>
      <c r="J1" s="8"/>
      <c r="K1" s="8"/>
      <c r="L1" s="8"/>
      <c r="M1" s="7"/>
      <c r="N1" s="7"/>
      <c r="O1" s="7"/>
      <c r="P1" s="7"/>
      <c r="Q1" s="5"/>
      <c r="R1" s="5"/>
      <c r="S1" s="5"/>
      <c r="T1" s="5"/>
      <c r="U1" s="5"/>
      <c r="V1" s="5"/>
    </row>
    <row r="2" spans="1:22" x14ac:dyDescent="0.3">
      <c r="A2" s="5"/>
      <c r="B2" s="5"/>
      <c r="C2" s="5"/>
      <c r="D2" s="5"/>
      <c r="E2" s="5"/>
      <c r="F2" s="5"/>
      <c r="G2" s="5"/>
      <c r="H2" s="5"/>
      <c r="I2" s="5"/>
      <c r="J2" s="5"/>
      <c r="K2" s="5"/>
      <c r="L2" s="5"/>
      <c r="M2" s="5"/>
      <c r="N2" s="5"/>
      <c r="O2" s="5"/>
      <c r="P2" s="5"/>
      <c r="Q2" s="5"/>
      <c r="R2" s="5"/>
      <c r="S2" s="5"/>
      <c r="T2" s="5"/>
      <c r="U2" s="5"/>
      <c r="V2" s="5"/>
    </row>
    <row r="3" spans="1:22" x14ac:dyDescent="0.3">
      <c r="A3" s="5"/>
      <c r="B3" s="5"/>
      <c r="C3" s="5"/>
      <c r="D3" s="5"/>
      <c r="E3" s="5"/>
      <c r="F3" s="5"/>
      <c r="G3" s="5"/>
      <c r="H3" s="5"/>
      <c r="I3" s="5"/>
      <c r="J3" s="5"/>
      <c r="K3" s="5"/>
      <c r="L3" s="5"/>
      <c r="M3" s="5"/>
      <c r="N3" s="5"/>
      <c r="O3" s="5"/>
      <c r="P3" s="5"/>
      <c r="Q3" s="5"/>
      <c r="R3" s="5"/>
      <c r="S3" s="5"/>
      <c r="T3" s="5"/>
      <c r="U3" s="5"/>
      <c r="V3" s="5"/>
    </row>
    <row r="4" spans="1:22" x14ac:dyDescent="0.3">
      <c r="A4" s="5"/>
      <c r="B4" s="5"/>
      <c r="C4" s="5"/>
      <c r="D4" s="5"/>
      <c r="E4" s="5"/>
      <c r="F4" s="5"/>
      <c r="G4" s="5"/>
      <c r="H4" s="5"/>
      <c r="I4" s="5"/>
      <c r="J4" s="5"/>
      <c r="K4" s="5"/>
      <c r="L4" s="13"/>
      <c r="M4" s="5"/>
      <c r="N4" s="5"/>
      <c r="O4" s="5"/>
      <c r="P4" s="5"/>
      <c r="Q4" s="5"/>
      <c r="R4" s="5"/>
      <c r="S4" s="5"/>
      <c r="T4" s="5"/>
      <c r="U4" s="5"/>
      <c r="V4" s="5"/>
    </row>
    <row r="5" spans="1:22" x14ac:dyDescent="0.3">
      <c r="A5" s="5"/>
      <c r="B5" s="5"/>
      <c r="C5" s="5"/>
      <c r="D5" s="5"/>
      <c r="E5" s="5"/>
      <c r="F5" s="5"/>
      <c r="G5" s="5"/>
      <c r="H5" s="5"/>
      <c r="I5" s="5"/>
      <c r="J5" s="5"/>
      <c r="K5" s="13"/>
      <c r="L5" s="13"/>
      <c r="M5" s="5"/>
      <c r="N5" s="5"/>
      <c r="O5" s="5"/>
      <c r="P5" s="5"/>
      <c r="Q5" s="5"/>
      <c r="R5" s="5"/>
      <c r="S5" s="5"/>
      <c r="T5" s="5"/>
      <c r="U5" s="5"/>
      <c r="V5" s="5"/>
    </row>
    <row r="6" spans="1:22" x14ac:dyDescent="0.3">
      <c r="A6" s="5"/>
      <c r="B6" s="5"/>
      <c r="C6" s="5"/>
      <c r="D6" s="5"/>
      <c r="E6" s="5"/>
      <c r="F6" s="5"/>
      <c r="G6" s="5"/>
      <c r="H6" s="5"/>
      <c r="I6" s="5"/>
      <c r="J6" s="5"/>
      <c r="K6" s="15" t="s">
        <v>1416</v>
      </c>
      <c r="L6" s="5"/>
      <c r="M6" s="15" t="s">
        <v>1417</v>
      </c>
      <c r="N6" s="5"/>
      <c r="O6" s="15" t="s">
        <v>1418</v>
      </c>
      <c r="P6" s="5"/>
      <c r="Q6" s="15" t="s">
        <v>1419</v>
      </c>
      <c r="R6" s="14"/>
      <c r="S6" s="5"/>
      <c r="T6" s="5"/>
      <c r="U6" s="5"/>
      <c r="V6" s="5"/>
    </row>
    <row r="7" spans="1:22" x14ac:dyDescent="0.3">
      <c r="A7" s="5"/>
      <c r="B7" s="5"/>
      <c r="C7" s="5"/>
      <c r="D7" s="5"/>
      <c r="E7" s="5"/>
      <c r="F7" s="5"/>
      <c r="G7" s="5"/>
      <c r="H7" s="5"/>
      <c r="I7" s="5"/>
      <c r="J7" s="5"/>
      <c r="K7" s="17">
        <f>SUM('Retail Sales Data'!J:J)</f>
        <v>35676490</v>
      </c>
      <c r="L7" s="5"/>
      <c r="M7" s="18">
        <f>SUM('Retail Sales Data'!M:M)</f>
        <v>6275825.6199999992</v>
      </c>
      <c r="N7" s="5"/>
      <c r="O7" s="19">
        <f>COUNTA('Retail Sales Data'!A:A)</f>
        <v>1001</v>
      </c>
      <c r="P7" s="5"/>
      <c r="Q7" s="19">
        <f>SUM('Retail Sales Data'!K:K)</f>
        <v>3491</v>
      </c>
      <c r="R7" s="5"/>
      <c r="S7" s="5"/>
      <c r="T7" s="5"/>
      <c r="U7" s="5"/>
      <c r="V7" s="5"/>
    </row>
    <row r="8" spans="1:22" x14ac:dyDescent="0.3">
      <c r="A8" s="5"/>
      <c r="B8" s="5"/>
      <c r="C8" s="5"/>
      <c r="D8" s="5"/>
      <c r="E8" s="5"/>
      <c r="F8" s="5"/>
      <c r="G8" s="5"/>
      <c r="H8" s="5"/>
      <c r="I8" s="5"/>
      <c r="J8" s="5"/>
      <c r="K8" s="5"/>
      <c r="L8" s="5"/>
      <c r="M8" s="5"/>
      <c r="N8" s="5"/>
      <c r="O8" s="5"/>
      <c r="P8" s="5"/>
      <c r="Q8" s="5"/>
      <c r="R8" s="5"/>
      <c r="S8" s="5"/>
      <c r="T8" s="5"/>
      <c r="U8" s="5"/>
      <c r="V8" s="5"/>
    </row>
    <row r="9" spans="1:22" x14ac:dyDescent="0.3">
      <c r="A9" s="5"/>
      <c r="B9" s="5"/>
      <c r="C9" s="5"/>
      <c r="D9" s="5"/>
      <c r="E9" s="5"/>
      <c r="F9" s="5"/>
      <c r="G9" s="5"/>
      <c r="H9" s="5"/>
      <c r="I9" s="5"/>
      <c r="J9" s="5"/>
      <c r="K9" s="5"/>
      <c r="L9" s="5"/>
      <c r="M9" s="5"/>
      <c r="N9" s="5"/>
      <c r="O9" s="5"/>
      <c r="P9" s="5"/>
      <c r="Q9" s="5"/>
      <c r="R9" s="5"/>
      <c r="S9" s="5"/>
      <c r="T9" s="5"/>
      <c r="U9" s="5"/>
      <c r="V9" s="5"/>
    </row>
    <row r="10" spans="1:22" x14ac:dyDescent="0.3">
      <c r="A10" s="5"/>
      <c r="B10" s="5"/>
      <c r="C10" s="5"/>
      <c r="D10" s="5"/>
      <c r="E10" s="5"/>
      <c r="F10" s="5"/>
      <c r="G10" s="5"/>
      <c r="H10" s="5"/>
      <c r="I10" s="5"/>
      <c r="J10" s="5"/>
      <c r="K10" s="5"/>
      <c r="L10" s="5"/>
      <c r="M10" s="5"/>
      <c r="N10" s="5"/>
      <c r="O10" s="5"/>
      <c r="P10" s="5"/>
      <c r="Q10" s="5"/>
      <c r="R10" s="5"/>
      <c r="S10" s="5"/>
      <c r="T10" s="5"/>
      <c r="U10" s="5"/>
      <c r="V10" s="5"/>
    </row>
    <row r="11" spans="1:22" x14ac:dyDescent="0.3">
      <c r="A11" s="5"/>
      <c r="B11" s="5"/>
      <c r="C11" s="5"/>
      <c r="D11" s="5"/>
      <c r="E11" s="5"/>
      <c r="F11" s="5"/>
      <c r="G11" s="5"/>
      <c r="H11" s="5"/>
      <c r="I11" s="5"/>
      <c r="J11" s="5"/>
      <c r="K11" s="5"/>
      <c r="L11" s="5"/>
      <c r="M11" s="5"/>
      <c r="N11" s="5"/>
      <c r="O11" s="5"/>
      <c r="P11" s="5"/>
      <c r="Q11" s="5"/>
      <c r="R11" s="5"/>
      <c r="S11" s="5"/>
      <c r="T11" s="5"/>
      <c r="U11" s="5"/>
      <c r="V11" s="5"/>
    </row>
    <row r="12" spans="1:22" x14ac:dyDescent="0.3">
      <c r="A12" s="5"/>
      <c r="B12" s="5"/>
      <c r="C12" s="5"/>
      <c r="D12" s="5"/>
      <c r="E12" s="5"/>
      <c r="F12" s="5"/>
      <c r="G12" s="5"/>
      <c r="H12" s="5"/>
      <c r="I12" s="5"/>
      <c r="J12" s="5"/>
      <c r="K12" s="5"/>
      <c r="L12" s="5"/>
      <c r="M12" s="5"/>
      <c r="N12" s="5"/>
      <c r="O12" s="5"/>
      <c r="P12" s="5"/>
      <c r="Q12" s="5"/>
      <c r="R12" s="5"/>
      <c r="S12" s="5"/>
      <c r="T12" s="5"/>
      <c r="U12" s="5"/>
      <c r="V12" s="5"/>
    </row>
    <row r="13" spans="1:22" x14ac:dyDescent="0.3">
      <c r="A13" s="5"/>
      <c r="B13" s="5"/>
      <c r="C13" s="5"/>
      <c r="D13" s="5"/>
      <c r="E13" s="5"/>
      <c r="F13" s="5"/>
      <c r="G13" s="5"/>
      <c r="H13" s="5"/>
      <c r="I13" s="5"/>
      <c r="J13" s="5"/>
      <c r="K13" s="5"/>
      <c r="L13" s="5"/>
      <c r="M13" s="5"/>
      <c r="N13" s="5"/>
      <c r="O13" s="5"/>
      <c r="P13" s="5"/>
      <c r="Q13" s="5"/>
      <c r="R13" s="5"/>
      <c r="S13" s="5"/>
      <c r="T13" s="5"/>
      <c r="U13" s="5"/>
      <c r="V13" s="5"/>
    </row>
    <row r="14" spans="1:22" x14ac:dyDescent="0.3">
      <c r="A14" s="5"/>
      <c r="B14" s="5"/>
      <c r="C14" s="5"/>
      <c r="D14" s="5"/>
      <c r="E14" s="5"/>
      <c r="F14" s="5"/>
      <c r="G14" s="5"/>
      <c r="H14" s="5"/>
      <c r="I14" s="5"/>
      <c r="J14" s="5"/>
      <c r="K14" s="5"/>
      <c r="L14" s="5"/>
      <c r="M14" s="5"/>
      <c r="N14" s="5"/>
      <c r="O14" s="5"/>
      <c r="P14" s="5"/>
      <c r="Q14" s="5"/>
      <c r="R14" s="5"/>
      <c r="S14" s="5"/>
      <c r="T14" s="5"/>
      <c r="U14" s="5"/>
      <c r="V14" s="5"/>
    </row>
    <row r="15" spans="1:22" x14ac:dyDescent="0.3">
      <c r="A15" s="5"/>
      <c r="B15" s="5"/>
      <c r="C15" s="5"/>
      <c r="D15" s="5"/>
      <c r="E15" s="5"/>
      <c r="F15" s="5"/>
      <c r="G15" s="5"/>
      <c r="H15" s="5"/>
      <c r="I15" s="5"/>
      <c r="J15" s="5"/>
      <c r="K15" s="5"/>
      <c r="L15" s="5"/>
      <c r="M15" s="5"/>
      <c r="N15" s="5"/>
      <c r="O15" s="5"/>
      <c r="P15" s="5"/>
      <c r="Q15" s="5"/>
      <c r="R15" s="5"/>
      <c r="S15" s="5"/>
      <c r="T15" s="5"/>
      <c r="U15" s="5"/>
      <c r="V15" s="5"/>
    </row>
    <row r="16" spans="1:22" x14ac:dyDescent="0.3">
      <c r="A16" s="5"/>
      <c r="B16" s="5"/>
      <c r="C16" s="5"/>
      <c r="D16" s="5"/>
      <c r="E16" s="5"/>
      <c r="F16" s="5"/>
      <c r="G16" s="5"/>
      <c r="H16" s="5"/>
      <c r="I16" s="5"/>
      <c r="J16" s="5"/>
      <c r="K16" s="5"/>
      <c r="L16" s="5"/>
      <c r="M16" s="5"/>
      <c r="N16" s="5"/>
      <c r="O16" s="5"/>
      <c r="P16" s="5"/>
      <c r="Q16" s="5"/>
      <c r="R16" s="5"/>
      <c r="S16" s="5"/>
      <c r="T16" s="5"/>
      <c r="U16" s="5"/>
      <c r="V16" s="5"/>
    </row>
    <row r="17" spans="1:22" x14ac:dyDescent="0.3">
      <c r="A17" s="5"/>
      <c r="B17" s="5"/>
      <c r="C17" s="5"/>
      <c r="D17" s="5"/>
      <c r="E17" s="5"/>
      <c r="F17" s="5"/>
      <c r="G17" s="5"/>
      <c r="H17" s="5"/>
      <c r="I17" s="5"/>
      <c r="J17" s="5"/>
      <c r="K17" s="5"/>
      <c r="L17" s="5"/>
      <c r="M17" s="5"/>
      <c r="N17" s="5"/>
      <c r="O17" s="5"/>
      <c r="P17" s="5"/>
      <c r="Q17" s="5"/>
      <c r="R17" s="5"/>
      <c r="S17" s="5"/>
      <c r="T17" s="5"/>
      <c r="U17" s="5"/>
      <c r="V17" s="5"/>
    </row>
    <row r="18" spans="1:22" x14ac:dyDescent="0.3">
      <c r="A18" s="5"/>
      <c r="B18" s="5"/>
      <c r="C18" s="5"/>
      <c r="D18" s="5"/>
      <c r="E18" s="5"/>
      <c r="F18" s="5"/>
      <c r="G18" s="5"/>
      <c r="H18" s="5"/>
      <c r="I18" s="5"/>
      <c r="J18" s="5"/>
      <c r="K18" s="5"/>
      <c r="L18" s="5"/>
      <c r="M18" s="5"/>
      <c r="N18" s="5"/>
      <c r="O18" s="5"/>
      <c r="P18" s="5"/>
      <c r="Q18" s="5"/>
      <c r="R18" s="5"/>
      <c r="S18" s="5"/>
      <c r="T18" s="5"/>
      <c r="U18" s="5"/>
      <c r="V18" s="5"/>
    </row>
    <row r="19" spans="1:22" x14ac:dyDescent="0.3">
      <c r="A19" s="5"/>
      <c r="B19" s="5"/>
      <c r="C19" s="5"/>
      <c r="D19" s="5"/>
      <c r="E19" s="5"/>
      <c r="F19" s="5"/>
      <c r="G19" s="5"/>
      <c r="H19" s="5"/>
      <c r="I19" s="5"/>
      <c r="J19" s="5"/>
      <c r="K19" s="5"/>
      <c r="L19" s="5"/>
      <c r="M19" s="5"/>
      <c r="N19" s="5"/>
      <c r="O19" s="5"/>
      <c r="P19" s="5"/>
      <c r="Q19" s="5"/>
      <c r="R19" s="5"/>
      <c r="S19" s="5"/>
      <c r="T19" s="5"/>
      <c r="U19" s="5"/>
      <c r="V19" s="5"/>
    </row>
    <row r="20" spans="1:22" x14ac:dyDescent="0.3">
      <c r="A20" s="5"/>
      <c r="B20" s="5"/>
      <c r="C20" s="5"/>
      <c r="D20" s="5"/>
      <c r="E20" s="5"/>
      <c r="F20" s="5"/>
      <c r="G20" s="5"/>
      <c r="H20" s="5"/>
      <c r="I20" s="5"/>
      <c r="J20" s="5"/>
      <c r="K20" s="5"/>
      <c r="L20" s="5"/>
      <c r="M20" s="5"/>
      <c r="N20" s="5"/>
      <c r="O20" s="5"/>
      <c r="P20" s="5"/>
      <c r="Q20" s="5"/>
      <c r="R20" s="5"/>
      <c r="S20" s="5"/>
      <c r="T20" s="5"/>
      <c r="U20" s="5"/>
      <c r="V20" s="5"/>
    </row>
    <row r="21" spans="1:22" x14ac:dyDescent="0.3">
      <c r="A21" s="5"/>
      <c r="B21" s="5"/>
      <c r="C21" s="5"/>
      <c r="D21" s="5"/>
      <c r="E21" s="5"/>
      <c r="F21" s="5"/>
      <c r="G21" s="5"/>
      <c r="H21" s="5"/>
      <c r="I21" s="5"/>
      <c r="J21" s="5"/>
      <c r="K21" s="5"/>
      <c r="L21" s="5"/>
      <c r="M21" s="5"/>
      <c r="N21" s="5"/>
      <c r="O21" s="5"/>
      <c r="P21" s="5"/>
      <c r="Q21" s="5"/>
      <c r="R21" s="5"/>
      <c r="S21" s="5"/>
      <c r="T21" s="5"/>
      <c r="U21" s="5"/>
      <c r="V21" s="5"/>
    </row>
    <row r="22" spans="1:22" x14ac:dyDescent="0.3">
      <c r="A22" s="5"/>
      <c r="B22" s="5"/>
      <c r="C22" s="5"/>
      <c r="D22" s="5"/>
      <c r="E22" s="5"/>
      <c r="F22" s="5"/>
      <c r="G22" s="5"/>
      <c r="H22" s="5"/>
      <c r="I22" s="5"/>
      <c r="J22" s="5"/>
      <c r="K22" s="5"/>
      <c r="L22" s="5"/>
      <c r="M22" s="5"/>
      <c r="N22" s="5"/>
      <c r="O22" s="5"/>
      <c r="P22" s="5"/>
      <c r="Q22" s="5"/>
      <c r="R22" s="5"/>
      <c r="S22" s="5"/>
      <c r="T22" s="5"/>
      <c r="U22" s="5"/>
      <c r="V22" s="5"/>
    </row>
    <row r="23" spans="1:22" x14ac:dyDescent="0.3">
      <c r="A23" s="5"/>
      <c r="B23" s="5"/>
      <c r="C23" s="5"/>
      <c r="D23" s="5"/>
      <c r="E23" s="5"/>
      <c r="F23" s="5"/>
      <c r="G23" s="5"/>
      <c r="H23" s="5"/>
      <c r="I23" s="5"/>
      <c r="J23" s="5"/>
      <c r="K23" s="5"/>
      <c r="L23" s="5"/>
      <c r="M23" s="5"/>
      <c r="N23" s="5"/>
      <c r="O23" s="5"/>
      <c r="P23" s="5"/>
      <c r="Q23" s="5"/>
      <c r="R23" s="5"/>
      <c r="S23" s="5"/>
      <c r="T23" s="5"/>
      <c r="U23" s="5"/>
      <c r="V23" s="5"/>
    </row>
    <row r="24" spans="1:22" x14ac:dyDescent="0.3">
      <c r="A24" s="5"/>
      <c r="B24" s="5"/>
      <c r="C24" s="5"/>
      <c r="D24" s="5"/>
      <c r="E24" s="5"/>
      <c r="F24" s="5"/>
      <c r="G24" s="5"/>
      <c r="H24" s="5"/>
      <c r="I24" s="5"/>
      <c r="J24" s="5"/>
      <c r="K24" s="5"/>
      <c r="L24" s="5"/>
      <c r="M24" s="5"/>
      <c r="N24" s="5"/>
      <c r="O24" s="5"/>
      <c r="P24" s="5"/>
      <c r="Q24" s="5"/>
      <c r="R24" s="5"/>
      <c r="S24" s="5"/>
      <c r="T24" s="5"/>
      <c r="U24" s="5"/>
      <c r="V24" s="5"/>
    </row>
    <row r="25" spans="1:22" x14ac:dyDescent="0.3">
      <c r="A25" s="5"/>
      <c r="B25" s="5"/>
      <c r="C25" s="5"/>
      <c r="D25" s="5"/>
      <c r="E25" s="5"/>
      <c r="F25" s="5"/>
      <c r="G25" s="5"/>
      <c r="H25" s="5"/>
      <c r="I25" s="5"/>
      <c r="J25" s="5"/>
      <c r="K25" s="5"/>
      <c r="L25" s="5"/>
      <c r="M25" s="5"/>
      <c r="N25" s="5"/>
      <c r="O25" s="5"/>
      <c r="P25" s="5"/>
      <c r="Q25" s="5"/>
      <c r="R25" s="5"/>
      <c r="S25" s="5"/>
      <c r="T25" s="5"/>
      <c r="U25" s="5"/>
      <c r="V25" s="5"/>
    </row>
    <row r="26" spans="1:22" x14ac:dyDescent="0.3">
      <c r="A26" s="5"/>
      <c r="B26" s="5"/>
      <c r="C26" s="5"/>
      <c r="D26" s="5"/>
      <c r="E26" s="5"/>
      <c r="F26" s="5"/>
      <c r="G26" s="5"/>
      <c r="H26" s="5"/>
      <c r="I26" s="5"/>
      <c r="J26" s="5"/>
      <c r="K26" s="5"/>
      <c r="L26" s="5"/>
      <c r="M26" s="5"/>
      <c r="N26" s="5"/>
      <c r="O26" s="5"/>
      <c r="P26" s="5"/>
      <c r="Q26" s="5"/>
      <c r="R26" s="5"/>
      <c r="S26" s="5"/>
      <c r="T26" s="5"/>
      <c r="U26" s="5"/>
      <c r="V26" s="5"/>
    </row>
    <row r="27" spans="1:22" x14ac:dyDescent="0.3">
      <c r="A27" s="5"/>
      <c r="B27" s="5"/>
      <c r="C27" s="5"/>
      <c r="D27" s="5"/>
      <c r="E27" s="5"/>
      <c r="F27" s="5"/>
      <c r="G27" s="5"/>
      <c r="H27" s="5"/>
      <c r="I27" s="5"/>
      <c r="J27" s="5"/>
      <c r="K27" s="5"/>
      <c r="L27" s="5"/>
      <c r="M27" s="5"/>
      <c r="N27" s="5"/>
      <c r="O27" s="5"/>
      <c r="P27" s="5"/>
      <c r="Q27" s="5"/>
      <c r="R27" s="5"/>
      <c r="S27" s="5"/>
      <c r="T27" s="5"/>
      <c r="U27" s="5"/>
      <c r="V27" s="5"/>
    </row>
    <row r="28" spans="1:22" x14ac:dyDescent="0.3">
      <c r="A28" s="5"/>
      <c r="B28" s="5"/>
      <c r="C28" s="5"/>
      <c r="D28" s="5"/>
      <c r="E28" s="5"/>
      <c r="F28" s="5"/>
      <c r="G28" s="5"/>
      <c r="H28" s="5"/>
      <c r="I28" s="5"/>
      <c r="J28" s="5"/>
      <c r="K28" s="5"/>
      <c r="L28" s="5"/>
      <c r="M28" s="5"/>
      <c r="N28" s="5"/>
      <c r="O28" s="5"/>
      <c r="P28" s="5"/>
      <c r="Q28" s="5"/>
      <c r="R28" s="5"/>
      <c r="S28" s="5"/>
      <c r="T28" s="5"/>
      <c r="U28" s="5"/>
      <c r="V28" s="5"/>
    </row>
    <row r="29" spans="1:22" x14ac:dyDescent="0.3">
      <c r="A29" s="5"/>
      <c r="B29" s="5"/>
      <c r="C29" s="5"/>
      <c r="D29" s="5"/>
      <c r="E29" s="5"/>
      <c r="F29" s="5"/>
      <c r="G29" s="5"/>
      <c r="H29" s="5"/>
      <c r="I29" s="5"/>
      <c r="J29" s="5"/>
      <c r="K29" s="5"/>
      <c r="L29" s="5"/>
      <c r="M29" s="5"/>
      <c r="N29" s="5"/>
      <c r="O29" s="5"/>
      <c r="P29" s="5"/>
      <c r="Q29" s="5"/>
      <c r="R29" s="5"/>
      <c r="S29" s="5"/>
      <c r="T29" s="5"/>
      <c r="U29" s="5"/>
      <c r="V29" s="5"/>
    </row>
    <row r="30" spans="1:22" x14ac:dyDescent="0.3">
      <c r="A30" s="5"/>
      <c r="B30" s="5"/>
      <c r="C30" s="5"/>
      <c r="D30" s="5"/>
      <c r="E30" s="5"/>
      <c r="F30" s="5"/>
      <c r="G30" s="5"/>
      <c r="H30" s="5"/>
      <c r="I30" s="5"/>
      <c r="J30" s="5"/>
      <c r="K30" s="5"/>
      <c r="L30" s="5"/>
      <c r="M30" s="5"/>
      <c r="N30" s="5"/>
      <c r="O30" s="5"/>
      <c r="P30" s="5"/>
      <c r="Q30" s="5"/>
      <c r="R30" s="5"/>
      <c r="S30" s="5"/>
      <c r="T30" s="5"/>
      <c r="U30" s="5"/>
      <c r="V30" s="5"/>
    </row>
  </sheetData>
  <mergeCells count="1">
    <mergeCell ref="B1:L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Retail Sales Data</vt:lpstr>
      <vt:lpstr>pivote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Spoorti Korimath</cp:lastModifiedBy>
  <dcterms:created xsi:type="dcterms:W3CDTF">2026-09-28T05:29:13Z</dcterms:created>
  <dcterms:modified xsi:type="dcterms:W3CDTF">2026-10-07T06:00:07Z</dcterms:modified>
</cp:coreProperties>
</file>